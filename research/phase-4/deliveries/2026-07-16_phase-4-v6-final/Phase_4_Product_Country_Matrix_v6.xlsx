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e47431ab864d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 Country Matrix" sheetId="1" r:id="R588153616e3447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63A5F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acef68749445a0" /><Relationship Type="http://schemas.openxmlformats.org/officeDocument/2006/relationships/theme" Target="/xl/theme/theme1.xml" Id="R7a4533f1d6ab4297" /><Relationship Type="http://schemas.openxmlformats.org/officeDocument/2006/relationships/sharedStrings" Target="/xl/sharedStrings.xml" Id="R501f359eab5745ec" /><Relationship Type="http://schemas.openxmlformats.org/officeDocument/2006/relationships/worksheet" Target="/xl/worksheets/sheet1.xml" Id="R588153616e3447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 ht="42" customHeight="1">
      <x:c r="A1" s="6" t="str">
        <x:v>Country</x:v>
      </x:c>
      <x:c r="B1" s="6" t="str">
        <x:v>Product</x:v>
      </x:c>
      <x:c r="C1" s="6" t="str">
        <x:v>Platform (0-30)</x:v>
      </x:c>
      <x:c r="D1" s="6" t="str">
        <x:v>Complete-engine demand (0-20)</x:v>
      </x:c>
      <x:c r="E1" s="6" t="str">
        <x:v>Channel (0-15)</x:v>
      </x:c>
      <x:c r="F1" s="6" t="str">
        <x:v>Search (0-15)</x:v>
      </x:c>
      <x:c r="G1" s="6" t="str">
        <x:v>Profit (0-10)</x:v>
      </x:c>
      <x:c r="H1" s="6" t="str">
        <x:v>Supply (0-10)</x:v>
      </x:c>
      <x:c r="I1" s="6" t="str">
        <x:v>Total (formula)</x:v>
      </x:c>
      <x:c r="J1" s="6" t="str">
        <x:v>Tier (formula)</x:v>
      </x:c>
      <x:c r="K1" s="6" t="str">
        <x:v>Demand type</x:v>
      </x:c>
      <x:c r="L1" s="6" t="str">
        <x:v>Evidence IDs</x:v>
      </x:c>
      <x:c r="M1" s="6" t="str">
        <x:v>Rationale</x:v>
      </x:c>
      <x:c r="N1" s="6" t="str">
        <x:v>Market confidence</x:v>
      </x:c>
      <x:c r="O1" s="6" t="str">
        <x:v>Engine confidence</x:v>
      </x:c>
      <x:c r="P1" s="6" t="str">
        <x:v>Compatibility confidence</x:v>
      </x:c>
      <x:c r="Q1" s="6" t="str">
        <x:v>Application</x:v>
      </x:c>
      <x:c r="R1" s="6" t="str">
        <x:v>Launch eligibility</x:v>
      </x:c>
      <x:c r="S1" s="6" t="str">
        <x:v>Ads Launch</x:v>
      </x:c>
    </x:row>
    <x:row r="2" ht="30" customHeight="1">
      <x:c r="A2" s="7" t="str">
        <x:v>Peru</x:v>
      </x:c>
      <x:c r="B2" s="7" t="str">
        <x:v>CG125 air-cooled</x:v>
      </x:c>
      <x:c r="C2" s="7" t="n">
        <x:v>0</x:v>
      </x:c>
      <x:c r="D2" s="7" t="n">
        <x:v>0</x:v>
      </x:c>
      <x:c r="E2" s="7" t="n">
        <x:v>0</x:v>
      </x:c>
      <x:c r="F2" s="7" t="n">
        <x:v>0</x:v>
      </x:c>
      <x:c r="G2" s="7" t="n">
        <x:v>0</x:v>
      </x:c>
      <x:c r="H2" s="7" t="n">
        <x:v>0</x:v>
      </x:c>
      <x:c r="I2" s="7" t="n">
        <x:f>SUM(C2:H2)</x:f>
        <x:v>0</x:v>
      </x:c>
      <x:c r="J2" s="7" t="str">
        <x:f>IF(I2&gt;=75,"S",IF(I2&gt;=60,"A",IF(I2&gt;=45,"B",IF(I2&gt;=30,"C","D"))))</x:f>
        <x:v>D</x:v>
      </x:c>
      <x:c r="K2" s="7" t="str">
        <x:v>Engine</x:v>
      </x:c>
      <x:c r="L2" s="7" t="str">
        <x:v>No product-specific evidence</x:v>
      </x:c>
      <x:c r="M2" s="7" t="str">
        <x:v>Frozen baseline; see batch evidence log.</x:v>
      </x:c>
      <x:c r="N2" s="7" t="str">
        <x:v>Low</x:v>
      </x:c>
      <x:c r="O2" s="7" t="str">
        <x:v>Low</x:v>
      </x:c>
      <x:c r="P2" s="7" t="str">
        <x:v>Low</x:v>
      </x:c>
      <x:c r="Q2" s="7" t="str">
        <x:v>Frozen baseline</x:v>
      </x:c>
      <x:c r="R2" s="7" t="str">
        <x:v>VALIDATE FIT</x:v>
      </x:c>
      <x:c r="S2" s="7" t="str">
        <x:v>NOT APPROVED</x:v>
      </x:c>
    </x:row>
    <x:row r="3" ht="30" customHeight="1">
      <x:c r="A3" s="7" t="str">
        <x:v>Peru</x:v>
      </x:c>
      <x:c r="B3" s="7" t="str">
        <x:v>CG150 air-cooled</x:v>
      </x:c>
      <x:c r="C3" s="7" t="n">
        <x:v>22</x:v>
      </x:c>
      <x:c r="D3" s="7" t="n">
        <x:v>10</x:v>
      </x:c>
      <x:c r="E3" s="7" t="n">
        <x:v>10</x:v>
      </x:c>
      <x:c r="F3" s="7" t="n">
        <x:v>9</x:v>
      </x:c>
      <x:c r="G3" s="7" t="n">
        <x:v>4</x:v>
      </x:c>
      <x:c r="H3" s="7" t="n">
        <x:v>7</x:v>
      </x:c>
      <x:c r="I3" s="7" t="n">
        <x:f>SUM(C3:H3)</x:f>
        <x:v>62</x:v>
      </x:c>
      <x:c r="J3" s="7" t="str">
        <x:f>IF(I3&gt;=75,"S",IF(I3&gt;=60,"A",IF(I3&gt;=45,"B",IF(I3&gt;=30,"C","D"))))</x:f>
        <x:v>A</x:v>
      </x:c>
      <x:c r="K3" s="7" t="str">
        <x:v>Engine</x:v>
      </x:c>
      <x:c r="L3" s="7" t="str">
        <x:v>P4-PE-01,P4-PE-02,P4-PE-03,P4-PE-07</x:v>
      </x:c>
      <x:c r="M3" s="7" t="str">
        <x:v>Frozen baseline; see batch evidence log.</x:v>
      </x:c>
      <x:c r="N3" s="7" t="str">
        <x:v>High</x:v>
      </x:c>
      <x:c r="O3" s="7" t="str">
        <x:v>Medium</x:v>
      </x:c>
      <x:c r="P3" s="7" t="str">
        <x:v>Low</x:v>
      </x:c>
      <x:c r="Q3" s="7" t="str">
        <x:v>Frozen baseline</x:v>
      </x:c>
      <x:c r="R3" s="7" t="str">
        <x:v>VALIDATE FIT</x:v>
      </x:c>
      <x:c r="S3" s="7" t="str">
        <x:v>NOT APPROVED</x:v>
      </x:c>
    </x:row>
    <x:row r="4" ht="30" customHeight="1">
      <x:c r="A4" s="7" t="str">
        <x:v>Peru</x:v>
      </x:c>
      <x:c r="B4" s="7" t="str">
        <x:v>CG175 air-cooled</x:v>
      </x:c>
      <x:c r="C4" s="7" t="n">
        <x:v>0</x:v>
      </x:c>
      <x:c r="D4" s="7" t="n">
        <x:v>0</x:v>
      </x:c>
      <x:c r="E4" s="7" t="n">
        <x:v>0</x:v>
      </x:c>
      <x:c r="F4" s="7" t="n">
        <x:v>0</x:v>
      </x:c>
      <x:c r="G4" s="7" t="n">
        <x:v>0</x:v>
      </x:c>
      <x:c r="H4" s="7" t="n">
        <x:v>0</x:v>
      </x:c>
      <x:c r="I4" s="7" t="n">
        <x:f>SUM(C4:H4)</x:f>
        <x:v>0</x:v>
      </x:c>
      <x:c r="J4" s="7" t="str">
        <x:f>IF(I4&gt;=75,"S",IF(I4&gt;=60,"A",IF(I4&gt;=45,"B",IF(I4&gt;=30,"C","D"))))</x:f>
        <x:v>D</x:v>
      </x:c>
      <x:c r="K4" s="7" t="str">
        <x:v>Engine</x:v>
      </x:c>
      <x:c r="L4" s="7" t="str">
        <x:v>No product-specific evidence</x:v>
      </x:c>
      <x:c r="M4" s="7" t="str">
        <x:v>Frozen baseline; see batch evidence log.</x:v>
      </x:c>
      <x:c r="N4" s="7" t="str">
        <x:v>Low</x:v>
      </x:c>
      <x:c r="O4" s="7" t="str">
        <x:v>Low</x:v>
      </x:c>
      <x:c r="P4" s="7" t="str">
        <x:v>Low</x:v>
      </x:c>
      <x:c r="Q4" s="7" t="str">
        <x:v>Frozen baseline</x:v>
      </x:c>
      <x:c r="R4" s="7" t="str">
        <x:v>VALIDATE FIT</x:v>
      </x:c>
      <x:c r="S4" s="7" t="str">
        <x:v>NOT APPROVED</x:v>
      </x:c>
    </x:row>
    <x:row r="5" ht="30" customHeight="1">
      <x:c r="A5" s="7" t="str">
        <x:v>Peru</x:v>
      </x:c>
      <x:c r="B5" s="7" t="str">
        <x:v>CG200 air-cooled</x:v>
      </x:c>
      <x:c r="C5" s="7" t="n">
        <x:v>24</x:v>
      </x:c>
      <x:c r="D5" s="7" t="n">
        <x:v>12</x:v>
      </x:c>
      <x:c r="E5" s="7" t="n">
        <x:v>10</x:v>
      </x:c>
      <x:c r="F5" s="7" t="n">
        <x:v>10</x:v>
      </x:c>
      <x:c r="G5" s="7" t="n">
        <x:v>4</x:v>
      </x:c>
      <x:c r="H5" s="7" t="n">
        <x:v>7</x:v>
      </x:c>
      <x:c r="I5" s="7" t="n">
        <x:f>SUM(C5:H5)</x:f>
        <x:v>67</x:v>
      </x:c>
      <x:c r="J5" s="7" t="str">
        <x:f>IF(I5&gt;=75,"S",IF(I5&gt;=60,"A",IF(I5&gt;=45,"B",IF(I5&gt;=30,"C","D"))))</x:f>
        <x:v>A</x:v>
      </x:c>
      <x:c r="K5" s="7" t="str">
        <x:v>Engine</x:v>
      </x:c>
      <x:c r="L5" s="7" t="str">
        <x:v>P4-PE-05,P4-PE-06,P4-PE-08</x:v>
      </x:c>
      <x:c r="M5" s="7" t="str">
        <x:v>Frozen baseline; see batch evidence log.</x:v>
      </x:c>
      <x:c r="N5" s="7" t="str">
        <x:v>High</x:v>
      </x:c>
      <x:c r="O5" s="7" t="str">
        <x:v>Medium</x:v>
      </x:c>
      <x:c r="P5" s="7" t="str">
        <x:v>Low</x:v>
      </x:c>
      <x:c r="Q5" s="7" t="str">
        <x:v>Frozen baseline</x:v>
      </x:c>
      <x:c r="R5" s="7" t="str">
        <x:v>VALIDATE FIT</x:v>
      </x:c>
      <x:c r="S5" s="7" t="str">
        <x:v>NOT APPROVED</x:v>
      </x:c>
    </x:row>
    <x:row r="6" ht="30" customHeight="1">
      <x:c r="A6" s="7" t="str">
        <x:v>Peru</x:v>
      </x:c>
      <x:c r="B6" s="7" t="str">
        <x:v>CG250 air-cooled</x:v>
      </x:c>
      <x:c r="C6" s="7" t="n">
        <x:v>9</x:v>
      </x:c>
      <x:c r="D6" s="7" t="n">
        <x:v>3</x:v>
      </x:c>
      <x:c r="E6" s="7" t="n">
        <x:v>3</x:v>
      </x:c>
      <x:c r="F6" s="7" t="n">
        <x:v>3</x:v>
      </x:c>
      <x:c r="G6" s="7" t="n">
        <x:v>2</x:v>
      </x:c>
      <x:c r="H6" s="7" t="n">
        <x:v>4</x:v>
      </x:c>
      <x:c r="I6" s="7" t="n">
        <x:f>SUM(C6:H6)</x:f>
        <x:v>24</x:v>
      </x:c>
      <x:c r="J6" s="7" t="str">
        <x:f>IF(I6&gt;=75,"S",IF(I6&gt;=60,"A",IF(I6&gt;=45,"B",IF(I6&gt;=30,"C","D"))))</x:f>
        <x:v>D</x:v>
      </x:c>
      <x:c r="K6" s="7" t="str">
        <x:v>Engine</x:v>
      </x:c>
      <x:c r="L6" s="7" t="str">
        <x:v>P4-PE-08</x:v>
      </x:c>
      <x:c r="M6" s="7" t="str">
        <x:v>Frozen baseline; see batch evidence log.</x:v>
      </x:c>
      <x:c r="N6" s="7" t="str">
        <x:v>Low</x:v>
      </x:c>
      <x:c r="O6" s="7" t="str">
        <x:v>Low</x:v>
      </x:c>
      <x:c r="P6" s="7" t="str">
        <x:v>Low</x:v>
      </x:c>
      <x:c r="Q6" s="7" t="str">
        <x:v>Frozen baseline</x:v>
      </x:c>
      <x:c r="R6" s="7" t="str">
        <x:v>VALIDATE FIT</x:v>
      </x:c>
      <x:c r="S6" s="7" t="str">
        <x:v>NOT APPROVED</x:v>
      </x:c>
    </x:row>
    <x:row r="7" ht="30" customHeight="1">
      <x:c r="A7" s="7" t="str">
        <x:v>Peru</x:v>
      </x:c>
      <x:c r="B7" s="7" t="str">
        <x:v>CG150-250 water-cooled cargo</x:v>
      </x:c>
      <x:c r="C7" s="7" t="n">
        <x:v>0</x:v>
      </x:c>
      <x:c r="D7" s="7" t="n">
        <x:v>0</x:v>
      </x:c>
      <x:c r="E7" s="7" t="n">
        <x:v>0</x:v>
      </x:c>
      <x:c r="F7" s="7" t="n">
        <x:v>0</x:v>
      </x:c>
      <x:c r="G7" s="7" t="n">
        <x:v>0</x:v>
      </x:c>
      <x:c r="H7" s="7" t="n">
        <x:v>0</x:v>
      </x:c>
      <x:c r="I7" s="7" t="n">
        <x:f>SUM(C7:H7)</x:f>
        <x:v>0</x:v>
      </x:c>
      <x:c r="J7" s="7" t="str">
        <x:f>IF(I7&gt;=75,"S",IF(I7&gt;=60,"A",IF(I7&gt;=45,"B",IF(I7&gt;=30,"C","D"))))</x:f>
        <x:v>D</x:v>
      </x:c>
      <x:c r="K7" s="7" t="str">
        <x:v>Engine</x:v>
      </x:c>
      <x:c r="L7" s="7" t="str">
        <x:v>No product-specific evidence</x:v>
      </x:c>
      <x:c r="M7" s="7" t="str">
        <x:v>Frozen baseline; see batch evidence log.</x:v>
      </x:c>
      <x:c r="N7" s="7" t="str">
        <x:v>Low</x:v>
      </x:c>
      <x:c r="O7" s="7" t="str">
        <x:v>Low</x:v>
      </x:c>
      <x:c r="P7" s="7" t="str">
        <x:v>Low</x:v>
      </x:c>
      <x:c r="Q7" s="7" t="str">
        <x:v>Frozen baseline</x:v>
      </x:c>
      <x:c r="R7" s="7" t="str">
        <x:v>VALIDATE FIT</x:v>
      </x:c>
      <x:c r="S7" s="7" t="str">
        <x:v>NOT APPROVED</x:v>
      </x:c>
    </x:row>
    <x:row r="8" ht="30" customHeight="1">
      <x:c r="A8" s="7" t="str">
        <x:v>Peru</x:v>
      </x:c>
      <x:c r="B8" s="7" t="str">
        <x:v>Tsunami water-cooled / dual-cooled</x:v>
      </x:c>
      <x:c r="C8" s="7" t="n">
        <x:v>0</x:v>
      </x:c>
      <x:c r="D8" s="7" t="n">
        <x:v>0</x:v>
      </x:c>
      <x:c r="E8" s="7" t="n">
        <x:v>0</x:v>
      </x:c>
      <x:c r="F8" s="7" t="n">
        <x:v>0</x:v>
      </x:c>
      <x:c r="G8" s="7" t="n">
        <x:v>0</x:v>
      </x:c>
      <x:c r="H8" s="7" t="n">
        <x:v>0</x:v>
      </x:c>
      <x:c r="I8" s="7" t="n">
        <x:f>SUM(C8:H8)</x:f>
        <x:v>0</x:v>
      </x:c>
      <x:c r="J8" s="7" t="str">
        <x:f>IF(I8&gt;=75,"S",IF(I8&gt;=60,"A",IF(I8&gt;=45,"B",IF(I8&gt;=30,"C","D"))))</x:f>
        <x:v>D</x:v>
      </x:c>
      <x:c r="K8" s="7" t="str">
        <x:v>Engine</x:v>
      </x:c>
      <x:c r="L8" s="7" t="str">
        <x:v>No product-specific evidence</x:v>
      </x:c>
      <x:c r="M8" s="7" t="str">
        <x:v>Frozen baseline; see batch evidence log.</x:v>
      </x:c>
      <x:c r="N8" s="7" t="str">
        <x:v>Low</x:v>
      </x:c>
      <x:c r="O8" s="7" t="str">
        <x:v>Low</x:v>
      </x:c>
      <x:c r="P8" s="7" t="str">
        <x:v>Low</x:v>
      </x:c>
      <x:c r="Q8" s="7" t="str">
        <x:v>Frozen baseline</x:v>
      </x:c>
      <x:c r="R8" s="7" t="str">
        <x:v>VALIDATE FIT</x:v>
      </x:c>
      <x:c r="S8" s="7" t="str">
        <x:v>NOT APPROVED</x:v>
      </x:c>
    </x:row>
    <x:row r="9" ht="30" customHeight="1">
      <x:c r="A9" s="7" t="str">
        <x:v>Peru</x:v>
      </x:c>
      <x:c r="B9" s="7" t="str">
        <x:v>Hanwei 200</x:v>
      </x:c>
      <x:c r="C9" s="7" t="n">
        <x:v>0</x:v>
      </x:c>
      <x:c r="D9" s="7" t="n">
        <x:v>0</x:v>
      </x:c>
      <x:c r="E9" s="7" t="n">
        <x:v>0</x:v>
      </x:c>
      <x:c r="F9" s="7" t="n">
        <x:v>0</x:v>
      </x:c>
      <x:c r="G9" s="7" t="n">
        <x:v>0</x:v>
      </x:c>
      <x:c r="H9" s="7" t="n">
        <x:v>0</x:v>
      </x:c>
      <x:c r="I9" s="7" t="n">
        <x:f>SUM(C9:H9)</x:f>
        <x:v>0</x:v>
      </x:c>
      <x:c r="J9" s="7" t="str">
        <x:f>IF(I9&gt;=75,"S",IF(I9&gt;=60,"A",IF(I9&gt;=45,"B",IF(I9&gt;=30,"C","D"))))</x:f>
        <x:v>D</x:v>
      </x:c>
      <x:c r="K9" s="7" t="str">
        <x:v>Engine</x:v>
      </x:c>
      <x:c r="L9" s="7" t="str">
        <x:v>No product-specific evidence</x:v>
      </x:c>
      <x:c r="M9" s="7" t="str">
        <x:v>Frozen baseline; see batch evidence log.</x:v>
      </x:c>
      <x:c r="N9" s="7" t="str">
        <x:v>Low</x:v>
      </x:c>
      <x:c r="O9" s="7" t="str">
        <x:v>Low</x:v>
      </x:c>
      <x:c r="P9" s="7" t="str">
        <x:v>Low</x:v>
      </x:c>
      <x:c r="Q9" s="7" t="str">
        <x:v>Frozen baseline</x:v>
      </x:c>
      <x:c r="R9" s="7" t="str">
        <x:v>VALIDATE FIT</x:v>
      </x:c>
      <x:c r="S9" s="7" t="str">
        <x:v>NOT APPROVED</x:v>
      </x:c>
    </x:row>
    <x:row r="10" ht="30" customHeight="1">
      <x:c r="A10" s="7" t="str">
        <x:v>Peru</x:v>
      </x:c>
      <x:c r="B10" s="7" t="str">
        <x:v>Hanwei 250</x:v>
      </x:c>
      <x:c r="C10" s="7" t="n">
        <x:v>0</x:v>
      </x:c>
      <x:c r="D10" s="7" t="n">
        <x:v>0</x:v>
      </x:c>
      <x:c r="E10" s="7" t="n">
        <x:v>0</x:v>
      </x:c>
      <x:c r="F10" s="7" t="n">
        <x:v>0</x:v>
      </x:c>
      <x:c r="G10" s="7" t="n">
        <x:v>0</x:v>
      </x:c>
      <x:c r="H10" s="7" t="n">
        <x:v>0</x:v>
      </x:c>
      <x:c r="I10" s="7" t="n">
        <x:f>SUM(C10:H10)</x:f>
        <x:v>0</x:v>
      </x:c>
      <x:c r="J10" s="7" t="str">
        <x:f>IF(I10&gt;=75,"S",IF(I10&gt;=60,"A",IF(I10&gt;=45,"B",IF(I10&gt;=30,"C","D"))))</x:f>
        <x:v>D</x:v>
      </x:c>
      <x:c r="K10" s="7" t="str">
        <x:v>Engine</x:v>
      </x:c>
      <x:c r="L10" s="7" t="str">
        <x:v>No product-specific evidence</x:v>
      </x:c>
      <x:c r="M10" s="7" t="str">
        <x:v>Frozen baseline; see batch evidence log.</x:v>
      </x:c>
      <x:c r="N10" s="7" t="str">
        <x:v>Low</x:v>
      </x:c>
      <x:c r="O10" s="7" t="str">
        <x:v>Low</x:v>
      </x:c>
      <x:c r="P10" s="7" t="str">
        <x:v>Low</x:v>
      </x:c>
      <x:c r="Q10" s="7" t="str">
        <x:v>Frozen baseline</x:v>
      </x:c>
      <x:c r="R10" s="7" t="str">
        <x:v>VALIDATE FIT</x:v>
      </x:c>
      <x:c r="S10" s="7" t="str">
        <x:v>NOT APPROVED</x:v>
      </x:c>
    </x:row>
    <x:row r="11" ht="30" customHeight="1">
      <x:c r="A11" s="7" t="str">
        <x:v>Peru</x:v>
      </x:c>
      <x:c r="B11" s="7" t="str">
        <x:v>Hanwei 300</x:v>
      </x:c>
      <x:c r="C11" s="7" t="n">
        <x:v>0</x:v>
      </x:c>
      <x:c r="D11" s="7" t="n">
        <x:v>0</x:v>
      </x:c>
      <x:c r="E11" s="7" t="n">
        <x:v>0</x:v>
      </x:c>
      <x:c r="F11" s="7" t="n">
        <x:v>0</x:v>
      </x:c>
      <x:c r="G11" s="7" t="n">
        <x:v>0</x:v>
      </x:c>
      <x:c r="H11" s="7" t="n">
        <x:v>0</x:v>
      </x:c>
      <x:c r="I11" s="7" t="n">
        <x:f>SUM(C11:H11)</x:f>
        <x:v>0</x:v>
      </x:c>
      <x:c r="J11" s="7" t="str">
        <x:f>IF(I11&gt;=75,"S",IF(I11&gt;=60,"A",IF(I11&gt;=45,"B",IF(I11&gt;=30,"C","D"))))</x:f>
        <x:v>D</x:v>
      </x:c>
      <x:c r="K11" s="7" t="str">
        <x:v>Engine</x:v>
      </x:c>
      <x:c r="L11" s="7" t="str">
        <x:v>No product-specific evidence</x:v>
      </x:c>
      <x:c r="M11" s="7" t="str">
        <x:v>Frozen baseline; see batch evidence log.</x:v>
      </x:c>
      <x:c r="N11" s="7" t="str">
        <x:v>Low</x:v>
      </x:c>
      <x:c r="O11" s="7" t="str">
        <x:v>Low</x:v>
      </x:c>
      <x:c r="P11" s="7" t="str">
        <x:v>Low</x:v>
      </x:c>
      <x:c r="Q11" s="7" t="str">
        <x:v>Frozen baseline</x:v>
      </x:c>
      <x:c r="R11" s="7" t="str">
        <x:v>VALIDATE FIT</x:v>
      </x:c>
      <x:c r="S11" s="7" t="str">
        <x:v>NOT APPROVED</x:v>
      </x:c>
    </x:row>
    <x:row r="12" ht="30" customHeight="1">
      <x:c r="A12" s="7" t="str">
        <x:v>Peru</x:v>
      </x:c>
      <x:c r="B12" s="7" t="str">
        <x:v>Hanwei 350</x:v>
      </x:c>
      <x:c r="C12" s="7" t="n">
        <x:v>0</x:v>
      </x:c>
      <x:c r="D12" s="7" t="n">
        <x:v>0</x:v>
      </x:c>
      <x:c r="E12" s="7" t="n">
        <x:v>0</x:v>
      </x:c>
      <x:c r="F12" s="7" t="n">
        <x:v>0</x:v>
      </x:c>
      <x:c r="G12" s="7" t="n">
        <x:v>0</x:v>
      </x:c>
      <x:c r="H12" s="7" t="n">
        <x:v>0</x:v>
      </x:c>
      <x:c r="I12" s="7" t="n">
        <x:f>SUM(C12:H12)</x:f>
        <x:v>0</x:v>
      </x:c>
      <x:c r="J12" s="7" t="str">
        <x:f>IF(I12&gt;=75,"S",IF(I12&gt;=60,"A",IF(I12&gt;=45,"B",IF(I12&gt;=30,"C","D"))))</x:f>
        <x:v>D</x:v>
      </x:c>
      <x:c r="K12" s="7" t="str">
        <x:v>Engine</x:v>
      </x:c>
      <x:c r="L12" s="7" t="str">
        <x:v>No product-specific evidence</x:v>
      </x:c>
      <x:c r="M12" s="7" t="str">
        <x:v>Frozen baseline; see batch evidence log.</x:v>
      </x:c>
      <x:c r="N12" s="7" t="str">
        <x:v>Low</x:v>
      </x:c>
      <x:c r="O12" s="7" t="str">
        <x:v>Low</x:v>
      </x:c>
      <x:c r="P12" s="7" t="str">
        <x:v>Low</x:v>
      </x:c>
      <x:c r="Q12" s="7" t="str">
        <x:v>Frozen baseline</x:v>
      </x:c>
      <x:c r="R12" s="7" t="str">
        <x:v>VALIDATE FIT</x:v>
      </x:c>
      <x:c r="S12" s="7" t="str">
        <x:v>NOT APPROVED</x:v>
      </x:c>
    </x:row>
    <x:row r="13" ht="30" customHeight="1">
      <x:c r="A13" s="7" t="str">
        <x:v>Peru</x:v>
      </x:c>
      <x:c r="B13" s="7" t="str">
        <x:v>Honda-style 110 horizontal</x:v>
      </x:c>
      <x:c r="C13" s="7" t="n">
        <x:v>0</x:v>
      </x:c>
      <x:c r="D13" s="7" t="n">
        <x:v>0</x:v>
      </x:c>
      <x:c r="E13" s="7" t="n">
        <x:v>0</x:v>
      </x:c>
      <x:c r="F13" s="7" t="n">
        <x:v>0</x:v>
      </x:c>
      <x:c r="G13" s="7" t="n">
        <x:v>0</x:v>
      </x:c>
      <x:c r="H13" s="7" t="n">
        <x:v>0</x:v>
      </x:c>
      <x:c r="I13" s="7" t="n">
        <x:f>SUM(C13:H13)</x:f>
        <x:v>0</x:v>
      </x:c>
      <x:c r="J13" s="7" t="str">
        <x:f>IF(I13&gt;=75,"S",IF(I13&gt;=60,"A",IF(I13&gt;=45,"B",IF(I13&gt;=30,"C","D"))))</x:f>
        <x:v>D</x:v>
      </x:c>
      <x:c r="K13" s="7" t="str">
        <x:v>Engine</x:v>
      </x:c>
      <x:c r="L13" s="7" t="str">
        <x:v>No product-specific evidence</x:v>
      </x:c>
      <x:c r="M13" s="7" t="str">
        <x:v>Frozen baseline; see batch evidence log.</x:v>
      </x:c>
      <x:c r="N13" s="7" t="str">
        <x:v>Low</x:v>
      </x:c>
      <x:c r="O13" s="7" t="str">
        <x:v>Low</x:v>
      </x:c>
      <x:c r="P13" s="7" t="str">
        <x:v>Low</x:v>
      </x:c>
      <x:c r="Q13" s="7" t="str">
        <x:v>Frozen baseline</x:v>
      </x:c>
      <x:c r="R13" s="7" t="str">
        <x:v>VALIDATE FIT</x:v>
      </x:c>
      <x:c r="S13" s="7" t="str">
        <x:v>NOT APPROVED</x:v>
      </x:c>
    </x:row>
    <x:row r="14" ht="30" customHeight="1">
      <x:c r="A14" s="7" t="str">
        <x:v>Peru</x:v>
      </x:c>
      <x:c r="B14" s="7" t="str">
        <x:v>Honda-style 125 horizontal</x:v>
      </x:c>
      <x:c r="C14" s="7" t="n">
        <x:v>0</x:v>
      </x:c>
      <x:c r="D14" s="7" t="n">
        <x:v>0</x:v>
      </x:c>
      <x:c r="E14" s="7" t="n">
        <x:v>0</x:v>
      </x:c>
      <x:c r="F14" s="7" t="n">
        <x:v>0</x:v>
      </x:c>
      <x:c r="G14" s="7" t="n">
        <x:v>0</x:v>
      </x:c>
      <x:c r="H14" s="7" t="n">
        <x:v>0</x:v>
      </x:c>
      <x:c r="I14" s="7" t="n">
        <x:f>SUM(C14:H14)</x:f>
        <x:v>0</x:v>
      </x:c>
      <x:c r="J14" s="7" t="str">
        <x:f>IF(I14&gt;=75,"S",IF(I14&gt;=60,"A",IF(I14&gt;=45,"B",IF(I14&gt;=30,"C","D"))))</x:f>
        <x:v>D</x:v>
      </x:c>
      <x:c r="K14" s="7" t="str">
        <x:v>Engine</x:v>
      </x:c>
      <x:c r="L14" s="7" t="str">
        <x:v>No product-specific evidence</x:v>
      </x:c>
      <x:c r="M14" s="7" t="str">
        <x:v>Frozen baseline; see batch evidence log.</x:v>
      </x:c>
      <x:c r="N14" s="7" t="str">
        <x:v>Low</x:v>
      </x:c>
      <x:c r="O14" s="7" t="str">
        <x:v>Low</x:v>
      </x:c>
      <x:c r="P14" s="7" t="str">
        <x:v>Low</x:v>
      </x:c>
      <x:c r="Q14" s="7" t="str">
        <x:v>Frozen baseline</x:v>
      </x:c>
      <x:c r="R14" s="7" t="str">
        <x:v>VALIDATE FIT</x:v>
      </x:c>
      <x:c r="S14" s="7" t="str">
        <x:v>NOT APPROVED</x:v>
      </x:c>
    </x:row>
    <x:row r="15" ht="30" customHeight="1">
      <x:c r="A15" s="7" t="str">
        <x:v>Peru</x:v>
      </x:c>
      <x:c r="B15" s="7" t="str">
        <x:v>Honda-style 130/140 horizontal</x:v>
      </x:c>
      <x:c r="C15" s="7" t="n">
        <x:v>0</x:v>
      </x:c>
      <x:c r="D15" s="7" t="n">
        <x:v>0</x:v>
      </x:c>
      <x:c r="E15" s="7" t="n">
        <x:v>0</x:v>
      </x:c>
      <x:c r="F15" s="7" t="n">
        <x:v>0</x:v>
      </x:c>
      <x:c r="G15" s="7" t="n">
        <x:v>0</x:v>
      </x:c>
      <x:c r="H15" s="7" t="n">
        <x:v>0</x:v>
      </x:c>
      <x:c r="I15" s="7" t="n">
        <x:f>SUM(C15:H15)</x:f>
        <x:v>0</x:v>
      </x:c>
      <x:c r="J15" s="7" t="str">
        <x:f>IF(I15&gt;=75,"S",IF(I15&gt;=60,"A",IF(I15&gt;=45,"B",IF(I15&gt;=30,"C","D"))))</x:f>
        <x:v>D</x:v>
      </x:c>
      <x:c r="K15" s="7" t="str">
        <x:v>Engine</x:v>
      </x:c>
      <x:c r="L15" s="7" t="str">
        <x:v>No product-specific evidence</x:v>
      </x:c>
      <x:c r="M15" s="7" t="str">
        <x:v>Frozen baseline; see batch evidence log.</x:v>
      </x:c>
      <x:c r="N15" s="7" t="str">
        <x:v>Low</x:v>
      </x:c>
      <x:c r="O15" s="7" t="str">
        <x:v>Low</x:v>
      </x:c>
      <x:c r="P15" s="7" t="str">
        <x:v>Low</x:v>
      </x:c>
      <x:c r="Q15" s="7" t="str">
        <x:v>Frozen baseline</x:v>
      </x:c>
      <x:c r="R15" s="7" t="str">
        <x:v>VALIDATE FIT</x:v>
      </x:c>
      <x:c r="S15" s="7" t="str">
        <x:v>NOT APPROVED</x:v>
      </x:c>
    </x:row>
    <x:row r="16" ht="30" customHeight="1">
      <x:c r="A16" s="7" t="str">
        <x:v>Peru</x:v>
      </x:c>
      <x:c r="B16" s="7" t="str">
        <x:v>Lower-mounted 140</x:v>
      </x:c>
      <x:c r="C16" s="7" t="n">
        <x:v>0</x:v>
      </x:c>
      <x:c r="D16" s="7" t="n">
        <x:v>0</x:v>
      </x:c>
      <x:c r="E16" s="7" t="n">
        <x:v>0</x:v>
      </x:c>
      <x:c r="F16" s="7" t="n">
        <x:v>0</x:v>
      </x:c>
      <x:c r="G16" s="7" t="n">
        <x:v>0</x:v>
      </x:c>
      <x:c r="H16" s="7" t="n">
        <x:v>0</x:v>
      </x:c>
      <x:c r="I16" s="7" t="n">
        <x:f>SUM(C16:H16)</x:f>
        <x:v>0</x:v>
      </x:c>
      <x:c r="J16" s="7" t="str">
        <x:f>IF(I16&gt;=75,"S",IF(I16&gt;=60,"A",IF(I16&gt;=45,"B",IF(I16&gt;=30,"C","D"))))</x:f>
        <x:v>D</x:v>
      </x:c>
      <x:c r="K16" s="7" t="str">
        <x:v>Engine</x:v>
      </x:c>
      <x:c r="L16" s="7" t="str">
        <x:v>No product-specific evidence</x:v>
      </x:c>
      <x:c r="M16" s="7" t="str">
        <x:v>Frozen baseline; see batch evidence log.</x:v>
      </x:c>
      <x:c r="N16" s="7" t="str">
        <x:v>Low</x:v>
      </x:c>
      <x:c r="O16" s="7" t="str">
        <x:v>Low</x:v>
      </x:c>
      <x:c r="P16" s="7" t="str">
        <x:v>Low</x:v>
      </x:c>
      <x:c r="Q16" s="7" t="str">
        <x:v>Frozen baseline</x:v>
      </x:c>
      <x:c r="R16" s="7" t="str">
        <x:v>VALIDATE FIT</x:v>
      </x:c>
      <x:c r="S16" s="7" t="str">
        <x:v>NOT APPROVED</x:v>
      </x:c>
    </x:row>
    <x:row r="17" ht="30" customHeight="1">
      <x:c r="A17" s="7" t="str">
        <x:v>Peru</x:v>
      </x:c>
      <x:c r="B17" s="7" t="str">
        <x:v>Automatic-clutch CG</x:v>
      </x:c>
      <x:c r="C17" s="7" t="n">
        <x:v>0</x:v>
      </x:c>
      <x:c r="D17" s="7" t="n">
        <x:v>0</x:v>
      </x:c>
      <x:c r="E17" s="7" t="n">
        <x:v>0</x:v>
      </x:c>
      <x:c r="F17" s="7" t="n">
        <x:v>0</x:v>
      </x:c>
      <x:c r="G17" s="7" t="n">
        <x:v>0</x:v>
      </x:c>
      <x:c r="H17" s="7" t="n">
        <x:v>0</x:v>
      </x:c>
      <x:c r="I17" s="7" t="n">
        <x:f>SUM(C17:H17)</x:f>
        <x:v>0</x:v>
      </x:c>
      <x:c r="J17" s="7" t="str">
        <x:f>IF(I17&gt;=75,"S",IF(I17&gt;=60,"A",IF(I17&gt;=45,"B",IF(I17&gt;=30,"C","D"))))</x:f>
        <x:v>D</x:v>
      </x:c>
      <x:c r="K17" s="7" t="str">
        <x:v>Engine</x:v>
      </x:c>
      <x:c r="L17" s="7" t="str">
        <x:v>No product-specific evidence</x:v>
      </x:c>
      <x:c r="M17" s="7" t="str">
        <x:v>Frozen baseline; see batch evidence log.</x:v>
      </x:c>
      <x:c r="N17" s="7" t="str">
        <x:v>Low</x:v>
      </x:c>
      <x:c r="O17" s="7" t="str">
        <x:v>Low</x:v>
      </x:c>
      <x:c r="P17" s="7" t="str">
        <x:v>Low</x:v>
      </x:c>
      <x:c r="Q17" s="7" t="str">
        <x:v>Frozen baseline</x:v>
      </x:c>
      <x:c r="R17" s="7" t="str">
        <x:v>VALIDATE FIT</x:v>
      </x:c>
      <x:c r="S17" s="7" t="str">
        <x:v>NOT APPROVED</x:v>
      </x:c>
    </x:row>
    <x:row r="18" ht="30" customHeight="1">
      <x:c r="A18" s="7" t="str">
        <x:v>Peru</x:v>
      </x:c>
      <x:c r="B18" s="7" t="str">
        <x:v>Automatic-clutch horizontal</x:v>
      </x:c>
      <x:c r="C18" s="7" t="n">
        <x:v>0</x:v>
      </x:c>
      <x:c r="D18" s="7" t="n">
        <x:v>0</x:v>
      </x:c>
      <x:c r="E18" s="7" t="n">
        <x:v>0</x:v>
      </x:c>
      <x:c r="F18" s="7" t="n">
        <x:v>0</x:v>
      </x:c>
      <x:c r="G18" s="7" t="n">
        <x:v>0</x:v>
      </x:c>
      <x:c r="H18" s="7" t="n">
        <x:v>0</x:v>
      </x:c>
      <x:c r="I18" s="7" t="n">
        <x:f>SUM(C18:H18)</x:f>
        <x:v>0</x:v>
      </x:c>
      <x:c r="J18" s="7" t="str">
        <x:f>IF(I18&gt;=75,"S",IF(I18&gt;=60,"A",IF(I18&gt;=45,"B",IF(I18&gt;=30,"C","D"))))</x:f>
        <x:v>D</x:v>
      </x:c>
      <x:c r="K18" s="7" t="str">
        <x:v>Engine</x:v>
      </x:c>
      <x:c r="L18" s="7" t="str">
        <x:v>No product-specific evidence</x:v>
      </x:c>
      <x:c r="M18" s="7" t="str">
        <x:v>Frozen baseline; see batch evidence log.</x:v>
      </x:c>
      <x:c r="N18" s="7" t="str">
        <x:v>Low</x:v>
      </x:c>
      <x:c r="O18" s="7" t="str">
        <x:v>Low</x:v>
      </x:c>
      <x:c r="P18" s="7" t="str">
        <x:v>Low</x:v>
      </x:c>
      <x:c r="Q18" s="7" t="str">
        <x:v>Frozen baseline</x:v>
      </x:c>
      <x:c r="R18" s="7" t="str">
        <x:v>VALIDATE FIT</x:v>
      </x:c>
      <x:c r="S18" s="7" t="str">
        <x:v>NOT APPROVED</x:v>
      </x:c>
    </x:row>
    <x:row r="19" ht="30" customHeight="1">
      <x:c r="A19" s="7" t="str">
        <x:v>Peru</x:v>
      </x:c>
      <x:c r="B19" s="7" t="str">
        <x:v>CB150/200/250 off-road</x:v>
      </x:c>
      <x:c r="C19" s="7" t="n">
        <x:v>0</x:v>
      </x:c>
      <x:c r="D19" s="7" t="n">
        <x:v>0</x:v>
      </x:c>
      <x:c r="E19" s="7" t="n">
        <x:v>0</x:v>
      </x:c>
      <x:c r="F19" s="7" t="n">
        <x:v>0</x:v>
      </x:c>
      <x:c r="G19" s="7" t="n">
        <x:v>0</x:v>
      </x:c>
      <x:c r="H19" s="7" t="n">
        <x:v>0</x:v>
      </x:c>
      <x:c r="I19" s="7" t="n">
        <x:f>SUM(C19:H19)</x:f>
        <x:v>0</x:v>
      </x:c>
      <x:c r="J19" s="7" t="str">
        <x:f>IF(I19&gt;=75,"S",IF(I19&gt;=60,"A",IF(I19&gt;=45,"B",IF(I19&gt;=30,"C","D"))))</x:f>
        <x:v>D</x:v>
      </x:c>
      <x:c r="K19" s="7" t="str">
        <x:v>Engine</x:v>
      </x:c>
      <x:c r="L19" s="7" t="str">
        <x:v>No product-specific evidence</x:v>
      </x:c>
      <x:c r="M19" s="7" t="str">
        <x:v>Frozen baseline; see batch evidence log.</x:v>
      </x:c>
      <x:c r="N19" s="7" t="str">
        <x:v>Low</x:v>
      </x:c>
      <x:c r="O19" s="7" t="str">
        <x:v>Low</x:v>
      </x:c>
      <x:c r="P19" s="7" t="str">
        <x:v>Low</x:v>
      </x:c>
      <x:c r="Q19" s="7" t="str">
        <x:v>Frozen baseline</x:v>
      </x:c>
      <x:c r="R19" s="7" t="str">
        <x:v>VALIDATE FIT</x:v>
      </x:c>
      <x:c r="S19" s="7" t="str">
        <x:v>NOT APPROVED</x:v>
      </x:c>
    </x:row>
    <x:row r="20" ht="30" customHeight="1">
      <x:c r="A20" s="7" t="str">
        <x:v>Peru</x:v>
      </x:c>
      <x:c r="B20" s="7" t="str">
        <x:v>EFI water-cooled</x:v>
      </x:c>
      <x:c r="C20" s="7" t="n">
        <x:v>0</x:v>
      </x:c>
      <x:c r="D20" s="7" t="n">
        <x:v>0</x:v>
      </x:c>
      <x:c r="E20" s="7" t="n">
        <x:v>0</x:v>
      </x:c>
      <x:c r="F20" s="7" t="n">
        <x:v>0</x:v>
      </x:c>
      <x:c r="G20" s="7" t="n">
        <x:v>0</x:v>
      </x:c>
      <x:c r="H20" s="7" t="n">
        <x:v>0</x:v>
      </x:c>
      <x:c r="I20" s="7" t="n">
        <x:f>SUM(C20:H20)</x:f>
        <x:v>0</x:v>
      </x:c>
      <x:c r="J20" s="7" t="str">
        <x:f>IF(I20&gt;=75,"S",IF(I20&gt;=60,"A",IF(I20&gt;=45,"B",IF(I20&gt;=30,"C","D"))))</x:f>
        <x:v>D</x:v>
      </x:c>
      <x:c r="K20" s="7" t="str">
        <x:v>Engine</x:v>
      </x:c>
      <x:c r="L20" s="7" t="str">
        <x:v>No product-specific evidence</x:v>
      </x:c>
      <x:c r="M20" s="7" t="str">
        <x:v>Frozen baseline; see batch evidence log.</x:v>
      </x:c>
      <x:c r="N20" s="7" t="str">
        <x:v>Low</x:v>
      </x:c>
      <x:c r="O20" s="7" t="str">
        <x:v>Low</x:v>
      </x:c>
      <x:c r="P20" s="7" t="str">
        <x:v>Low</x:v>
      </x:c>
      <x:c r="Q20" s="7" t="str">
        <x:v>Frozen baseline</x:v>
      </x:c>
      <x:c r="R20" s="7" t="str">
        <x:v>VALIDATE FIT</x:v>
      </x:c>
      <x:c r="S20" s="7" t="str">
        <x:v>NOT APPROVED</x:v>
      </x:c>
    </x:row>
    <x:row r="21" ht="30" customHeight="1">
      <x:c r="A21" s="7" t="str">
        <x:v>Peru</x:v>
      </x:c>
      <x:c r="B21" s="7" t="str">
        <x:v>Engine parts / spares pack</x:v>
      </x:c>
      <x:c r="C21" s="7" t="n">
        <x:v>24</x:v>
      </x:c>
      <x:c r="D21" s="7" t="n">
        <x:v>0</x:v>
      </x:c>
      <x:c r="E21" s="7" t="n">
        <x:v>12</x:v>
      </x:c>
      <x:c r="F21" s="7" t="n">
        <x:v>8</x:v>
      </x:c>
      <x:c r="G21" s="7" t="n">
        <x:v>5</x:v>
      </x:c>
      <x:c r="H21" s="7" t="n">
        <x:v>8</x:v>
      </x:c>
      <x:c r="I21" s="7" t="n">
        <x:f>SUM(C21:H21)</x:f>
        <x:v>57</x:v>
      </x:c>
      <x:c r="J21" s="7" t="str">
        <x:f>IF(I21&gt;=75,"S",IF(I21&gt;=60,"A",IF(I21&gt;=45,"B",IF(I21&gt;=30,"C","D"))))</x:f>
        <x:v>B</x:v>
      </x:c>
      <x:c r="K21" s="7" t="str">
        <x:v>Aftermarket / parts</x:v>
      </x:c>
      <x:c r="L21" s="7" t="str">
        <x:v>P4-PE-04</x:v>
      </x:c>
      <x:c r="M21" s="7" t="str">
        <x:v>Frozen baseline; see batch evidence log.</x:v>
      </x:c>
      <x:c r="N21" s="7" t="str">
        <x:v>High</x:v>
      </x:c>
      <x:c r="O21" s="7" t="str">
        <x:v>Not applicable</x:v>
      </x:c>
      <x:c r="P21" s="7" t="str">
        <x:v>Not applicable</x:v>
      </x:c>
      <x:c r="Q21" s="7" t="str">
        <x:v>Frozen baseline</x:v>
      </x:c>
      <x:c r="R21" s="7" t="str">
        <x:v>VALIDATE ECONOMICS</x:v>
      </x:c>
      <x:c r="S21" s="7" t="str">
        <x:v>NOT APPROVED</x:v>
      </x:c>
    </x:row>
    <x:row r="22" ht="30" customHeight="1">
      <x:c r="A22" s="7" t="str">
        <x:v>Uzbekistan</x:v>
      </x:c>
      <x:c r="B22" s="7" t="str">
        <x:v>CG125 air-cooled</x:v>
      </x:c>
      <x:c r="C22" s="7" t="n">
        <x:v>0</x:v>
      </x:c>
      <x:c r="D22" s="7" t="n">
        <x:v>0</x:v>
      </x:c>
      <x:c r="E22" s="7" t="n">
        <x:v>0</x:v>
      </x:c>
      <x:c r="F22" s="7" t="n">
        <x:v>0</x:v>
      </x:c>
      <x:c r="G22" s="7" t="n">
        <x:v>0</x:v>
      </x:c>
      <x:c r="H22" s="7" t="n">
        <x:v>0</x:v>
      </x:c>
      <x:c r="I22" s="7" t="n">
        <x:f>SUM(C22:H22)</x:f>
        <x:v>0</x:v>
      </x:c>
      <x:c r="J22" s="7" t="str">
        <x:f>IF(I22&gt;=75,"S",IF(I22&gt;=60,"A",IF(I22&gt;=45,"B",IF(I22&gt;=30,"C","D"))))</x:f>
        <x:v>D</x:v>
      </x:c>
      <x:c r="K22" s="7" t="str">
        <x:v>Engine</x:v>
      </x:c>
      <x:c r="L22" s="7" t="str">
        <x:v>No product-specific evidence</x:v>
      </x:c>
      <x:c r="M22" s="7" t="str">
        <x:v>Frozen baseline; see batch evidence log.</x:v>
      </x:c>
      <x:c r="N22" s="7" t="str">
        <x:v>Low</x:v>
      </x:c>
      <x:c r="O22" s="7" t="str">
        <x:v>Low</x:v>
      </x:c>
      <x:c r="P22" s="7" t="str">
        <x:v>Low</x:v>
      </x:c>
      <x:c r="Q22" s="7" t="str">
        <x:v>Frozen baseline</x:v>
      </x:c>
      <x:c r="R22" s="7" t="str">
        <x:v>VALIDATE FIT</x:v>
      </x:c>
      <x:c r="S22" s="7" t="str">
        <x:v>NOT APPROVED</x:v>
      </x:c>
    </x:row>
    <x:row r="23" ht="30" customHeight="1">
      <x:c r="A23" s="7" t="str">
        <x:v>Uzbekistan</x:v>
      </x:c>
      <x:c r="B23" s="7" t="str">
        <x:v>CG150 air-cooled</x:v>
      </x:c>
      <x:c r="C23" s="7" t="n">
        <x:v>0</x:v>
      </x:c>
      <x:c r="D23" s="7" t="n">
        <x:v>0</x:v>
      </x:c>
      <x:c r="E23" s="7" t="n">
        <x:v>0</x:v>
      </x:c>
      <x:c r="F23" s="7" t="n">
        <x:v>0</x:v>
      </x:c>
      <x:c r="G23" s="7" t="n">
        <x:v>0</x:v>
      </x:c>
      <x:c r="H23" s="7" t="n">
        <x:v>0</x:v>
      </x:c>
      <x:c r="I23" s="7" t="n">
        <x:f>SUM(C23:H23)</x:f>
        <x:v>0</x:v>
      </x:c>
      <x:c r="J23" s="7" t="str">
        <x:f>IF(I23&gt;=75,"S",IF(I23&gt;=60,"A",IF(I23&gt;=45,"B",IF(I23&gt;=30,"C","D"))))</x:f>
        <x:v>D</x:v>
      </x:c>
      <x:c r="K23" s="7" t="str">
        <x:v>Engine</x:v>
      </x:c>
      <x:c r="L23" s="7" t="str">
        <x:v>No product-specific evidence</x:v>
      </x:c>
      <x:c r="M23" s="7" t="str">
        <x:v>Frozen baseline; see batch evidence log.</x:v>
      </x:c>
      <x:c r="N23" s="7" t="str">
        <x:v>Low</x:v>
      </x:c>
      <x:c r="O23" s="7" t="str">
        <x:v>Low</x:v>
      </x:c>
      <x:c r="P23" s="7" t="str">
        <x:v>Low</x:v>
      </x:c>
      <x:c r="Q23" s="7" t="str">
        <x:v>Frozen baseline</x:v>
      </x:c>
      <x:c r="R23" s="7" t="str">
        <x:v>VALIDATE FIT</x:v>
      </x:c>
      <x:c r="S23" s="7" t="str">
        <x:v>NOT APPROVED</x:v>
      </x:c>
    </x:row>
    <x:row r="24" ht="30" customHeight="1">
      <x:c r="A24" s="7" t="str">
        <x:v>Uzbekistan</x:v>
      </x:c>
      <x:c r="B24" s="7" t="str">
        <x:v>CG175 air-cooled</x:v>
      </x:c>
      <x:c r="C24" s="7" t="n">
        <x:v>0</x:v>
      </x:c>
      <x:c r="D24" s="7" t="n">
        <x:v>0</x:v>
      </x:c>
      <x:c r="E24" s="7" t="n">
        <x:v>0</x:v>
      </x:c>
      <x:c r="F24" s="7" t="n">
        <x:v>0</x:v>
      </x:c>
      <x:c r="G24" s="7" t="n">
        <x:v>0</x:v>
      </x:c>
      <x:c r="H24" s="7" t="n">
        <x:v>0</x:v>
      </x:c>
      <x:c r="I24" s="7" t="n">
        <x:f>SUM(C24:H24)</x:f>
        <x:v>0</x:v>
      </x:c>
      <x:c r="J24" s="7" t="str">
        <x:f>IF(I24&gt;=75,"S",IF(I24&gt;=60,"A",IF(I24&gt;=45,"B",IF(I24&gt;=30,"C","D"))))</x:f>
        <x:v>D</x:v>
      </x:c>
      <x:c r="K24" s="7" t="str">
        <x:v>Engine</x:v>
      </x:c>
      <x:c r="L24" s="7" t="str">
        <x:v>No product-specific evidence</x:v>
      </x:c>
      <x:c r="M24" s="7" t="str">
        <x:v>Frozen baseline; see batch evidence log.</x:v>
      </x:c>
      <x:c r="N24" s="7" t="str">
        <x:v>Low</x:v>
      </x:c>
      <x:c r="O24" s="7" t="str">
        <x:v>Low</x:v>
      </x:c>
      <x:c r="P24" s="7" t="str">
        <x:v>Low</x:v>
      </x:c>
      <x:c r="Q24" s="7" t="str">
        <x:v>Frozen baseline</x:v>
      </x:c>
      <x:c r="R24" s="7" t="str">
        <x:v>VALIDATE FIT</x:v>
      </x:c>
      <x:c r="S24" s="7" t="str">
        <x:v>NOT APPROVED</x:v>
      </x:c>
    </x:row>
    <x:row r="25" ht="30" customHeight="1">
      <x:c r="A25" s="7" t="str">
        <x:v>Uzbekistan</x:v>
      </x:c>
      <x:c r="B25" s="7" t="str">
        <x:v>CG200 air-cooled</x:v>
      </x:c>
      <x:c r="C25" s="7" t="n">
        <x:v>0</x:v>
      </x:c>
      <x:c r="D25" s="7" t="n">
        <x:v>0</x:v>
      </x:c>
      <x:c r="E25" s="7" t="n">
        <x:v>0</x:v>
      </x:c>
      <x:c r="F25" s="7" t="n">
        <x:v>0</x:v>
      </x:c>
      <x:c r="G25" s="7" t="n">
        <x:v>0</x:v>
      </x:c>
      <x:c r="H25" s="7" t="n">
        <x:v>0</x:v>
      </x:c>
      <x:c r="I25" s="7" t="n">
        <x:f>SUM(C25:H25)</x:f>
        <x:v>0</x:v>
      </x:c>
      <x:c r="J25" s="7" t="str">
        <x:f>IF(I25&gt;=75,"S",IF(I25&gt;=60,"A",IF(I25&gt;=45,"B",IF(I25&gt;=30,"C","D"))))</x:f>
        <x:v>D</x:v>
      </x:c>
      <x:c r="K25" s="7" t="str">
        <x:v>Engine</x:v>
      </x:c>
      <x:c r="L25" s="7" t="str">
        <x:v>No product-specific evidence</x:v>
      </x:c>
      <x:c r="M25" s="7" t="str">
        <x:v>Frozen baseline; see batch evidence log.</x:v>
      </x:c>
      <x:c r="N25" s="7" t="str">
        <x:v>Low</x:v>
      </x:c>
      <x:c r="O25" s="7" t="str">
        <x:v>Low</x:v>
      </x:c>
      <x:c r="P25" s="7" t="str">
        <x:v>Low</x:v>
      </x:c>
      <x:c r="Q25" s="7" t="str">
        <x:v>Frozen baseline</x:v>
      </x:c>
      <x:c r="R25" s="7" t="str">
        <x:v>VALIDATE FIT</x:v>
      </x:c>
      <x:c r="S25" s="7" t="str">
        <x:v>NOT APPROVED</x:v>
      </x:c>
    </x:row>
    <x:row r="26" ht="30" customHeight="1">
      <x:c r="A26" s="7" t="str">
        <x:v>Uzbekistan</x:v>
      </x:c>
      <x:c r="B26" s="7" t="str">
        <x:v>CG250 air-cooled</x:v>
      </x:c>
      <x:c r="C26" s="7" t="n">
        <x:v>0</x:v>
      </x:c>
      <x:c r="D26" s="7" t="n">
        <x:v>0</x:v>
      </x:c>
      <x:c r="E26" s="7" t="n">
        <x:v>0</x:v>
      </x:c>
      <x:c r="F26" s="7" t="n">
        <x:v>0</x:v>
      </x:c>
      <x:c r="G26" s="7" t="n">
        <x:v>0</x:v>
      </x:c>
      <x:c r="H26" s="7" t="n">
        <x:v>0</x:v>
      </x:c>
      <x:c r="I26" s="7" t="n">
        <x:f>SUM(C26:H26)</x:f>
        <x:v>0</x:v>
      </x:c>
      <x:c r="J26" s="7" t="str">
        <x:f>IF(I26&gt;=75,"S",IF(I26&gt;=60,"A",IF(I26&gt;=45,"B",IF(I26&gt;=30,"C","D"))))</x:f>
        <x:v>D</x:v>
      </x:c>
      <x:c r="K26" s="7" t="str">
        <x:v>Engine</x:v>
      </x:c>
      <x:c r="L26" s="7" t="str">
        <x:v>No product-specific evidence</x:v>
      </x:c>
      <x:c r="M26" s="7" t="str">
        <x:v>Frozen baseline; see batch evidence log.</x:v>
      </x:c>
      <x:c r="N26" s="7" t="str">
        <x:v>Low</x:v>
      </x:c>
      <x:c r="O26" s="7" t="str">
        <x:v>Low</x:v>
      </x:c>
      <x:c r="P26" s="7" t="str">
        <x:v>Low</x:v>
      </x:c>
      <x:c r="Q26" s="7" t="str">
        <x:v>Frozen baseline</x:v>
      </x:c>
      <x:c r="R26" s="7" t="str">
        <x:v>VALIDATE FIT</x:v>
      </x:c>
      <x:c r="S26" s="7" t="str">
        <x:v>NOT APPROVED</x:v>
      </x:c>
    </x:row>
    <x:row r="27" ht="30" customHeight="1">
      <x:c r="A27" s="7" t="str">
        <x:v>Uzbekistan</x:v>
      </x:c>
      <x:c r="B27" s="7" t="str">
        <x:v>CG150-250 water-cooled cargo</x:v>
      </x:c>
      <x:c r="C27" s="7" t="n">
        <x:v>22</x:v>
      </x:c>
      <x:c r="D27" s="7" t="n">
        <x:v>3</x:v>
      </x:c>
      <x:c r="E27" s="7" t="n">
        <x:v>10</x:v>
      </x:c>
      <x:c r="F27" s="7" t="n">
        <x:v>9</x:v>
      </x:c>
      <x:c r="G27" s="7" t="n">
        <x:v>3</x:v>
      </x:c>
      <x:c r="H27" s="7" t="n">
        <x:v>6</x:v>
      </x:c>
      <x:c r="I27" s="7" t="n">
        <x:f>SUM(C27:H27)</x:f>
        <x:v>53</x:v>
      </x:c>
      <x:c r="J27" s="7" t="str">
        <x:f>IF(I27&gt;=75,"S",IF(I27&gt;=60,"A",IF(I27&gt;=45,"B",IF(I27&gt;=30,"C","D"))))</x:f>
        <x:v>B</x:v>
      </x:c>
      <x:c r="K27" s="7" t="str">
        <x:v>Engine</x:v>
      </x:c>
      <x:c r="L27" s="7" t="str">
        <x:v>P4-UZ-01,P4-UZ-02,P4-UZ-05</x:v>
      </x:c>
      <x:c r="M27" s="7" t="str">
        <x:v>Frozen baseline; see batch evidence log.</x:v>
      </x:c>
      <x:c r="N27" s="7" t="str">
        <x:v>Medium</x:v>
      </x:c>
      <x:c r="O27" s="7" t="str">
        <x:v>Low</x:v>
      </x:c>
      <x:c r="P27" s="7" t="str">
        <x:v>Low</x:v>
      </x:c>
      <x:c r="Q27" s="7" t="str">
        <x:v>Frozen baseline</x:v>
      </x:c>
      <x:c r="R27" s="7" t="str">
        <x:v>VALIDATE FIT</x:v>
      </x:c>
      <x:c r="S27" s="7" t="str">
        <x:v>NOT APPROVED</x:v>
      </x:c>
    </x:row>
    <x:row r="28" ht="30" customHeight="1">
      <x:c r="A28" s="7" t="str">
        <x:v>Uzbekistan</x:v>
      </x:c>
      <x:c r="B28" s="7" t="str">
        <x:v>Tsunami water-cooled / dual-cooled</x:v>
      </x:c>
      <x:c r="C28" s="7" t="n">
        <x:v>0</x:v>
      </x:c>
      <x:c r="D28" s="7" t="n">
        <x:v>0</x:v>
      </x:c>
      <x:c r="E28" s="7" t="n">
        <x:v>0</x:v>
      </x:c>
      <x:c r="F28" s="7" t="n">
        <x:v>0</x:v>
      </x:c>
      <x:c r="G28" s="7" t="n">
        <x:v>0</x:v>
      </x:c>
      <x:c r="H28" s="7" t="n">
        <x:v>0</x:v>
      </x:c>
      <x:c r="I28" s="7" t="n">
        <x:f>SUM(C28:H28)</x:f>
        <x:v>0</x:v>
      </x:c>
      <x:c r="J28" s="7" t="str">
        <x:f>IF(I28&gt;=75,"S",IF(I28&gt;=60,"A",IF(I28&gt;=45,"B",IF(I28&gt;=30,"C","D"))))</x:f>
        <x:v>D</x:v>
      </x:c>
      <x:c r="K28" s="7" t="str">
        <x:v>Engine</x:v>
      </x:c>
      <x:c r="L28" s="7" t="str">
        <x:v>No product-specific evidence</x:v>
      </x:c>
      <x:c r="M28" s="7" t="str">
        <x:v>Frozen baseline; see batch evidence log.</x:v>
      </x:c>
      <x:c r="N28" s="7" t="str">
        <x:v>Low</x:v>
      </x:c>
      <x:c r="O28" s="7" t="str">
        <x:v>Low</x:v>
      </x:c>
      <x:c r="P28" s="7" t="str">
        <x:v>Low</x:v>
      </x:c>
      <x:c r="Q28" s="7" t="str">
        <x:v>Frozen baseline</x:v>
      </x:c>
      <x:c r="R28" s="7" t="str">
        <x:v>VALIDATE FIT</x:v>
      </x:c>
      <x:c r="S28" s="7" t="str">
        <x:v>NOT APPROVED</x:v>
      </x:c>
    </x:row>
    <x:row r="29" ht="30" customHeight="1">
      <x:c r="A29" s="7" t="str">
        <x:v>Uzbekistan</x:v>
      </x:c>
      <x:c r="B29" s="7" t="str">
        <x:v>Hanwei 200</x:v>
      </x:c>
      <x:c r="C29" s="7" t="n">
        <x:v>0</x:v>
      </x:c>
      <x:c r="D29" s="7" t="n">
        <x:v>0</x:v>
      </x:c>
      <x:c r="E29" s="7" t="n">
        <x:v>0</x:v>
      </x:c>
      <x:c r="F29" s="7" t="n">
        <x:v>0</x:v>
      </x:c>
      <x:c r="G29" s="7" t="n">
        <x:v>0</x:v>
      </x:c>
      <x:c r="H29" s="7" t="n">
        <x:v>0</x:v>
      </x:c>
      <x:c r="I29" s="7" t="n">
        <x:f>SUM(C29:H29)</x:f>
        <x:v>0</x:v>
      </x:c>
      <x:c r="J29" s="7" t="str">
        <x:f>IF(I29&gt;=75,"S",IF(I29&gt;=60,"A",IF(I29&gt;=45,"B",IF(I29&gt;=30,"C","D"))))</x:f>
        <x:v>D</x:v>
      </x:c>
      <x:c r="K29" s="7" t="str">
        <x:v>Engine</x:v>
      </x:c>
      <x:c r="L29" s="7" t="str">
        <x:v>No product-specific evidence</x:v>
      </x:c>
      <x:c r="M29" s="7" t="str">
        <x:v>Frozen baseline; see batch evidence log.</x:v>
      </x:c>
      <x:c r="N29" s="7" t="str">
        <x:v>Low</x:v>
      </x:c>
      <x:c r="O29" s="7" t="str">
        <x:v>Low</x:v>
      </x:c>
      <x:c r="P29" s="7" t="str">
        <x:v>Low</x:v>
      </x:c>
      <x:c r="Q29" s="7" t="str">
        <x:v>Frozen baseline</x:v>
      </x:c>
      <x:c r="R29" s="7" t="str">
        <x:v>VALIDATE FIT</x:v>
      </x:c>
      <x:c r="S29" s="7" t="str">
        <x:v>NOT APPROVED</x:v>
      </x:c>
    </x:row>
    <x:row r="30" ht="30" customHeight="1">
      <x:c r="A30" s="7" t="str">
        <x:v>Uzbekistan</x:v>
      </x:c>
      <x:c r="B30" s="7" t="str">
        <x:v>Hanwei 250</x:v>
      </x:c>
      <x:c r="C30" s="7" t="n">
        <x:v>0</x:v>
      </x:c>
      <x:c r="D30" s="7" t="n">
        <x:v>0</x:v>
      </x:c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f>SUM(C30:H30)</x:f>
        <x:v>0</x:v>
      </x:c>
      <x:c r="J30" s="7" t="str">
        <x:f>IF(I30&gt;=75,"S",IF(I30&gt;=60,"A",IF(I30&gt;=45,"B",IF(I30&gt;=30,"C","D"))))</x:f>
        <x:v>D</x:v>
      </x:c>
      <x:c r="K30" s="7" t="str">
        <x:v>Engine</x:v>
      </x:c>
      <x:c r="L30" s="7" t="str">
        <x:v>No product-specific evidence</x:v>
      </x:c>
      <x:c r="M30" s="7" t="str">
        <x:v>Frozen baseline; see batch evidence log.</x:v>
      </x:c>
      <x:c r="N30" s="7" t="str">
        <x:v>Low</x:v>
      </x:c>
      <x:c r="O30" s="7" t="str">
        <x:v>Low</x:v>
      </x:c>
      <x:c r="P30" s="7" t="str">
        <x:v>Low</x:v>
      </x:c>
      <x:c r="Q30" s="7" t="str">
        <x:v>Frozen baseline</x:v>
      </x:c>
      <x:c r="R30" s="7" t="str">
        <x:v>VALIDATE FIT</x:v>
      </x:c>
      <x:c r="S30" s="7" t="str">
        <x:v>NOT APPROVED</x:v>
      </x:c>
    </x:row>
    <x:row r="31" ht="30" customHeight="1">
      <x:c r="A31" s="7" t="str">
        <x:v>Uzbekistan</x:v>
      </x:c>
      <x:c r="B31" s="7" t="str">
        <x:v>Hanwei 300</x:v>
      </x:c>
      <x:c r="C31" s="7" t="n">
        <x:v>0</x:v>
      </x:c>
      <x:c r="D31" s="7" t="n">
        <x:v>0</x:v>
      </x:c>
      <x:c r="E31" s="7" t="n">
        <x:v>0</x:v>
      </x:c>
      <x:c r="F31" s="7" t="n">
        <x:v>0</x:v>
      </x:c>
      <x:c r="G31" s="7" t="n">
        <x:v>0</x:v>
      </x:c>
      <x:c r="H31" s="7" t="n">
        <x:v>0</x:v>
      </x:c>
      <x:c r="I31" s="7" t="n">
        <x:f>SUM(C31:H31)</x:f>
        <x:v>0</x:v>
      </x:c>
      <x:c r="J31" s="7" t="str">
        <x:f>IF(I31&gt;=75,"S",IF(I31&gt;=60,"A",IF(I31&gt;=45,"B",IF(I31&gt;=30,"C","D"))))</x:f>
        <x:v>D</x:v>
      </x:c>
      <x:c r="K31" s="7" t="str">
        <x:v>Engine</x:v>
      </x:c>
      <x:c r="L31" s="7" t="str">
        <x:v>No product-specific evidence</x:v>
      </x:c>
      <x:c r="M31" s="7" t="str">
        <x:v>Frozen baseline; see batch evidence log.</x:v>
      </x:c>
      <x:c r="N31" s="7" t="str">
        <x:v>Low</x:v>
      </x:c>
      <x:c r="O31" s="7" t="str">
        <x:v>Low</x:v>
      </x:c>
      <x:c r="P31" s="7" t="str">
        <x:v>Low</x:v>
      </x:c>
      <x:c r="Q31" s="7" t="str">
        <x:v>Frozen baseline</x:v>
      </x:c>
      <x:c r="R31" s="7" t="str">
        <x:v>VALIDATE FIT</x:v>
      </x:c>
      <x:c r="S31" s="7" t="str">
        <x:v>NOT APPROVED</x:v>
      </x:c>
    </x:row>
    <x:row r="32" ht="30" customHeight="1">
      <x:c r="A32" s="7" t="str">
        <x:v>Uzbekistan</x:v>
      </x:c>
      <x:c r="B32" s="7" t="str">
        <x:v>Hanwei 350</x:v>
      </x:c>
      <x:c r="C32" s="7" t="n">
        <x:v>0</x:v>
      </x:c>
      <x:c r="D32" s="7" t="n">
        <x:v>0</x:v>
      </x:c>
      <x:c r="E32" s="7" t="n">
        <x:v>0</x:v>
      </x:c>
      <x:c r="F32" s="7" t="n">
        <x:v>0</x:v>
      </x:c>
      <x:c r="G32" s="7" t="n">
        <x:v>0</x:v>
      </x:c>
      <x:c r="H32" s="7" t="n">
        <x:v>0</x:v>
      </x:c>
      <x:c r="I32" s="7" t="n">
        <x:f>SUM(C32:H32)</x:f>
        <x:v>0</x:v>
      </x:c>
      <x:c r="J32" s="7" t="str">
        <x:f>IF(I32&gt;=75,"S",IF(I32&gt;=60,"A",IF(I32&gt;=45,"B",IF(I32&gt;=30,"C","D"))))</x:f>
        <x:v>D</x:v>
      </x:c>
      <x:c r="K32" s="7" t="str">
        <x:v>Engine</x:v>
      </x:c>
      <x:c r="L32" s="7" t="str">
        <x:v>No product-specific evidence</x:v>
      </x:c>
      <x:c r="M32" s="7" t="str">
        <x:v>Frozen baseline; see batch evidence log.</x:v>
      </x:c>
      <x:c r="N32" s="7" t="str">
        <x:v>Low</x:v>
      </x:c>
      <x:c r="O32" s="7" t="str">
        <x:v>Low</x:v>
      </x:c>
      <x:c r="P32" s="7" t="str">
        <x:v>Low</x:v>
      </x:c>
      <x:c r="Q32" s="7" t="str">
        <x:v>Frozen baseline</x:v>
      </x:c>
      <x:c r="R32" s="7" t="str">
        <x:v>VALIDATE FIT</x:v>
      </x:c>
      <x:c r="S32" s="7" t="str">
        <x:v>NOT APPROVED</x:v>
      </x:c>
    </x:row>
    <x:row r="33" ht="30" customHeight="1">
      <x:c r="A33" s="7" t="str">
        <x:v>Uzbekistan</x:v>
      </x:c>
      <x:c r="B33" s="7" t="str">
        <x:v>Honda-style 110 horizontal</x:v>
      </x:c>
      <x:c r="C33" s="7" t="n">
        <x:v>0</x:v>
      </x:c>
      <x:c r="D33" s="7" t="n">
        <x:v>0</x:v>
      </x:c>
      <x:c r="E33" s="7" t="n">
        <x:v>0</x:v>
      </x:c>
      <x:c r="F33" s="7" t="n">
        <x:v>0</x:v>
      </x:c>
      <x:c r="G33" s="7" t="n">
        <x:v>0</x:v>
      </x:c>
      <x:c r="H33" s="7" t="n">
        <x:v>0</x:v>
      </x:c>
      <x:c r="I33" s="7" t="n">
        <x:f>SUM(C33:H33)</x:f>
        <x:v>0</x:v>
      </x:c>
      <x:c r="J33" s="7" t="str">
        <x:f>IF(I33&gt;=75,"S",IF(I33&gt;=60,"A",IF(I33&gt;=45,"B",IF(I33&gt;=30,"C","D"))))</x:f>
        <x:v>D</x:v>
      </x:c>
      <x:c r="K33" s="7" t="str">
        <x:v>Engine</x:v>
      </x:c>
      <x:c r="L33" s="7" t="str">
        <x:v>No product-specific evidence</x:v>
      </x:c>
      <x:c r="M33" s="7" t="str">
        <x:v>Frozen baseline; see batch evidence log.</x:v>
      </x:c>
      <x:c r="N33" s="7" t="str">
        <x:v>Low</x:v>
      </x:c>
      <x:c r="O33" s="7" t="str">
        <x:v>Low</x:v>
      </x:c>
      <x:c r="P33" s="7" t="str">
        <x:v>Low</x:v>
      </x:c>
      <x:c r="Q33" s="7" t="str">
        <x:v>Frozen baseline</x:v>
      </x:c>
      <x:c r="R33" s="7" t="str">
        <x:v>VALIDATE FIT</x:v>
      </x:c>
      <x:c r="S33" s="7" t="str">
        <x:v>NOT APPROVED</x:v>
      </x:c>
    </x:row>
    <x:row r="34" ht="30" customHeight="1">
      <x:c r="A34" s="7" t="str">
        <x:v>Uzbekistan</x:v>
      </x:c>
      <x:c r="B34" s="7" t="str">
        <x:v>Honda-style 125 horizontal</x:v>
      </x:c>
      <x:c r="C34" s="7" t="n">
        <x:v>0</x:v>
      </x:c>
      <x:c r="D34" s="7" t="n">
        <x:v>0</x:v>
      </x:c>
      <x:c r="E34" s="7" t="n">
        <x:v>0</x:v>
      </x:c>
      <x:c r="F34" s="7" t="n">
        <x:v>0</x:v>
      </x:c>
      <x:c r="G34" s="7" t="n">
        <x:v>0</x:v>
      </x:c>
      <x:c r="H34" s="7" t="n">
        <x:v>0</x:v>
      </x:c>
      <x:c r="I34" s="7" t="n">
        <x:f>SUM(C34:H34)</x:f>
        <x:v>0</x:v>
      </x:c>
      <x:c r="J34" s="7" t="str">
        <x:f>IF(I34&gt;=75,"S",IF(I34&gt;=60,"A",IF(I34&gt;=45,"B",IF(I34&gt;=30,"C","D"))))</x:f>
        <x:v>D</x:v>
      </x:c>
      <x:c r="K34" s="7" t="str">
        <x:v>Engine</x:v>
      </x:c>
      <x:c r="L34" s="7" t="str">
        <x:v>No product-specific evidence</x:v>
      </x:c>
      <x:c r="M34" s="7" t="str">
        <x:v>Frozen baseline; see batch evidence log.</x:v>
      </x:c>
      <x:c r="N34" s="7" t="str">
        <x:v>Low</x:v>
      </x:c>
      <x:c r="O34" s="7" t="str">
        <x:v>Low</x:v>
      </x:c>
      <x:c r="P34" s="7" t="str">
        <x:v>Low</x:v>
      </x:c>
      <x:c r="Q34" s="7" t="str">
        <x:v>Frozen baseline</x:v>
      </x:c>
      <x:c r="R34" s="7" t="str">
        <x:v>VALIDATE FIT</x:v>
      </x:c>
      <x:c r="S34" s="7" t="str">
        <x:v>NOT APPROVED</x:v>
      </x:c>
    </x:row>
    <x:row r="35" ht="30" customHeight="1">
      <x:c r="A35" s="7" t="str">
        <x:v>Uzbekistan</x:v>
      </x:c>
      <x:c r="B35" s="7" t="str">
        <x:v>Honda-style 130/140 horizontal</x:v>
      </x:c>
      <x:c r="C35" s="7" t="n">
        <x:v>0</x:v>
      </x:c>
      <x:c r="D35" s="7" t="n">
        <x:v>0</x:v>
      </x:c>
      <x:c r="E35" s="7" t="n">
        <x:v>0</x:v>
      </x:c>
      <x:c r="F35" s="7" t="n">
        <x:v>0</x:v>
      </x:c>
      <x:c r="G35" s="7" t="n">
        <x:v>0</x:v>
      </x:c>
      <x:c r="H35" s="7" t="n">
        <x:v>0</x:v>
      </x:c>
      <x:c r="I35" s="7" t="n">
        <x:f>SUM(C35:H35)</x:f>
        <x:v>0</x:v>
      </x:c>
      <x:c r="J35" s="7" t="str">
        <x:f>IF(I35&gt;=75,"S",IF(I35&gt;=60,"A",IF(I35&gt;=45,"B",IF(I35&gt;=30,"C","D"))))</x:f>
        <x:v>D</x:v>
      </x:c>
      <x:c r="K35" s="7" t="str">
        <x:v>Engine</x:v>
      </x:c>
      <x:c r="L35" s="7" t="str">
        <x:v>No product-specific evidence</x:v>
      </x:c>
      <x:c r="M35" s="7" t="str">
        <x:v>Frozen baseline; see batch evidence log.</x:v>
      </x:c>
      <x:c r="N35" s="7" t="str">
        <x:v>Low</x:v>
      </x:c>
      <x:c r="O35" s="7" t="str">
        <x:v>Low</x:v>
      </x:c>
      <x:c r="P35" s="7" t="str">
        <x:v>Low</x:v>
      </x:c>
      <x:c r="Q35" s="7" t="str">
        <x:v>Frozen baseline</x:v>
      </x:c>
      <x:c r="R35" s="7" t="str">
        <x:v>VALIDATE FIT</x:v>
      </x:c>
      <x:c r="S35" s="7" t="str">
        <x:v>NOT APPROVED</x:v>
      </x:c>
    </x:row>
    <x:row r="36" ht="30" customHeight="1">
      <x:c r="A36" s="7" t="str">
        <x:v>Uzbekistan</x:v>
      </x:c>
      <x:c r="B36" s="7" t="str">
        <x:v>Lower-mounted 140</x:v>
      </x:c>
      <x:c r="C36" s="7" t="n">
        <x:v>0</x:v>
      </x:c>
      <x:c r="D36" s="7" t="n">
        <x:v>0</x:v>
      </x:c>
      <x:c r="E36" s="7" t="n">
        <x:v>0</x:v>
      </x:c>
      <x:c r="F36" s="7" t="n">
        <x:v>0</x:v>
      </x:c>
      <x:c r="G36" s="7" t="n">
        <x:v>0</x:v>
      </x:c>
      <x:c r="H36" s="7" t="n">
        <x:v>0</x:v>
      </x:c>
      <x:c r="I36" s="7" t="n">
        <x:f>SUM(C36:H36)</x:f>
        <x:v>0</x:v>
      </x:c>
      <x:c r="J36" s="7" t="str">
        <x:f>IF(I36&gt;=75,"S",IF(I36&gt;=60,"A",IF(I36&gt;=45,"B",IF(I36&gt;=30,"C","D"))))</x:f>
        <x:v>D</x:v>
      </x:c>
      <x:c r="K36" s="7" t="str">
        <x:v>Engine</x:v>
      </x:c>
      <x:c r="L36" s="7" t="str">
        <x:v>No product-specific evidence</x:v>
      </x:c>
      <x:c r="M36" s="7" t="str">
        <x:v>Frozen baseline; see batch evidence log.</x:v>
      </x:c>
      <x:c r="N36" s="7" t="str">
        <x:v>Low</x:v>
      </x:c>
      <x:c r="O36" s="7" t="str">
        <x:v>Low</x:v>
      </x:c>
      <x:c r="P36" s="7" t="str">
        <x:v>Low</x:v>
      </x:c>
      <x:c r="Q36" s="7" t="str">
        <x:v>Frozen baseline</x:v>
      </x:c>
      <x:c r="R36" s="7" t="str">
        <x:v>VALIDATE FIT</x:v>
      </x:c>
      <x:c r="S36" s="7" t="str">
        <x:v>NOT APPROVED</x:v>
      </x:c>
    </x:row>
    <x:row r="37" ht="30" customHeight="1">
      <x:c r="A37" s="7" t="str">
        <x:v>Uzbekistan</x:v>
      </x:c>
      <x:c r="B37" s="7" t="str">
        <x:v>Automatic-clutch CG</x:v>
      </x:c>
      <x:c r="C37" s="7" t="n">
        <x:v>0</x:v>
      </x:c>
      <x:c r="D37" s="7" t="n">
        <x:v>0</x:v>
      </x:c>
      <x:c r="E37" s="7" t="n">
        <x:v>0</x:v>
      </x:c>
      <x:c r="F37" s="7" t="n">
        <x:v>0</x:v>
      </x:c>
      <x:c r="G37" s="7" t="n">
        <x:v>0</x:v>
      </x:c>
      <x:c r="H37" s="7" t="n">
        <x:v>0</x:v>
      </x:c>
      <x:c r="I37" s="7" t="n">
        <x:f>SUM(C37:H37)</x:f>
        <x:v>0</x:v>
      </x:c>
      <x:c r="J37" s="7" t="str">
        <x:f>IF(I37&gt;=75,"S",IF(I37&gt;=60,"A",IF(I37&gt;=45,"B",IF(I37&gt;=30,"C","D"))))</x:f>
        <x:v>D</x:v>
      </x:c>
      <x:c r="K37" s="7" t="str">
        <x:v>Engine</x:v>
      </x:c>
      <x:c r="L37" s="7" t="str">
        <x:v>No product-specific evidence</x:v>
      </x:c>
      <x:c r="M37" s="7" t="str">
        <x:v>Frozen baseline; see batch evidence log.</x:v>
      </x:c>
      <x:c r="N37" s="7" t="str">
        <x:v>Low</x:v>
      </x:c>
      <x:c r="O37" s="7" t="str">
        <x:v>Low</x:v>
      </x:c>
      <x:c r="P37" s="7" t="str">
        <x:v>Low</x:v>
      </x:c>
      <x:c r="Q37" s="7" t="str">
        <x:v>Frozen baseline</x:v>
      </x:c>
      <x:c r="R37" s="7" t="str">
        <x:v>VALIDATE FIT</x:v>
      </x:c>
      <x:c r="S37" s="7" t="str">
        <x:v>NOT APPROVED</x:v>
      </x:c>
    </x:row>
    <x:row r="38" ht="30" customHeight="1">
      <x:c r="A38" s="7" t="str">
        <x:v>Uzbekistan</x:v>
      </x:c>
      <x:c r="B38" s="7" t="str">
        <x:v>Automatic-clutch horizontal</x:v>
      </x:c>
      <x:c r="C38" s="7" t="n">
        <x:v>0</x:v>
      </x:c>
      <x:c r="D38" s="7" t="n">
        <x:v>0</x:v>
      </x:c>
      <x:c r="E38" s="7" t="n">
        <x:v>0</x:v>
      </x:c>
      <x:c r="F38" s="7" t="n">
        <x:v>0</x:v>
      </x:c>
      <x:c r="G38" s="7" t="n">
        <x:v>0</x:v>
      </x:c>
      <x:c r="H38" s="7" t="n">
        <x:v>0</x:v>
      </x:c>
      <x:c r="I38" s="7" t="n">
        <x:f>SUM(C38:H38)</x:f>
        <x:v>0</x:v>
      </x:c>
      <x:c r="J38" s="7" t="str">
        <x:f>IF(I38&gt;=75,"S",IF(I38&gt;=60,"A",IF(I38&gt;=45,"B",IF(I38&gt;=30,"C","D"))))</x:f>
        <x:v>D</x:v>
      </x:c>
      <x:c r="K38" s="7" t="str">
        <x:v>Engine</x:v>
      </x:c>
      <x:c r="L38" s="7" t="str">
        <x:v>No product-specific evidence</x:v>
      </x:c>
      <x:c r="M38" s="7" t="str">
        <x:v>Frozen baseline; see batch evidence log.</x:v>
      </x:c>
      <x:c r="N38" s="7" t="str">
        <x:v>Low</x:v>
      </x:c>
      <x:c r="O38" s="7" t="str">
        <x:v>Low</x:v>
      </x:c>
      <x:c r="P38" s="7" t="str">
        <x:v>Low</x:v>
      </x:c>
      <x:c r="Q38" s="7" t="str">
        <x:v>Frozen baseline</x:v>
      </x:c>
      <x:c r="R38" s="7" t="str">
        <x:v>VALIDATE FIT</x:v>
      </x:c>
      <x:c r="S38" s="7" t="str">
        <x:v>NOT APPROVED</x:v>
      </x:c>
    </x:row>
    <x:row r="39" ht="30" customHeight="1">
      <x:c r="A39" s="7" t="str">
        <x:v>Uzbekistan</x:v>
      </x:c>
      <x:c r="B39" s="7" t="str">
        <x:v>CB150/200/250 off-road</x:v>
      </x:c>
      <x:c r="C39" s="7" t="n">
        <x:v>0</x:v>
      </x:c>
      <x:c r="D39" s="7" t="n">
        <x:v>0</x:v>
      </x:c>
      <x:c r="E39" s="7" t="n">
        <x:v>0</x:v>
      </x:c>
      <x:c r="F39" s="7" t="n">
        <x:v>0</x:v>
      </x:c>
      <x:c r="G39" s="7" t="n">
        <x:v>0</x:v>
      </x:c>
      <x:c r="H39" s="7" t="n">
        <x:v>0</x:v>
      </x:c>
      <x:c r="I39" s="7" t="n">
        <x:f>SUM(C39:H39)</x:f>
        <x:v>0</x:v>
      </x:c>
      <x:c r="J39" s="7" t="str">
        <x:f>IF(I39&gt;=75,"S",IF(I39&gt;=60,"A",IF(I39&gt;=45,"B",IF(I39&gt;=30,"C","D"))))</x:f>
        <x:v>D</x:v>
      </x:c>
      <x:c r="K39" s="7" t="str">
        <x:v>Engine</x:v>
      </x:c>
      <x:c r="L39" s="7" t="str">
        <x:v>No product-specific evidence</x:v>
      </x:c>
      <x:c r="M39" s="7" t="str">
        <x:v>Frozen baseline; see batch evidence log.</x:v>
      </x:c>
      <x:c r="N39" s="7" t="str">
        <x:v>Low</x:v>
      </x:c>
      <x:c r="O39" s="7" t="str">
        <x:v>Low</x:v>
      </x:c>
      <x:c r="P39" s="7" t="str">
        <x:v>Low</x:v>
      </x:c>
      <x:c r="Q39" s="7" t="str">
        <x:v>Frozen baseline</x:v>
      </x:c>
      <x:c r="R39" s="7" t="str">
        <x:v>VALIDATE FIT</x:v>
      </x:c>
      <x:c r="S39" s="7" t="str">
        <x:v>NOT APPROVED</x:v>
      </x:c>
    </x:row>
    <x:row r="40" ht="30" customHeight="1">
      <x:c r="A40" s="7" t="str">
        <x:v>Uzbekistan</x:v>
      </x:c>
      <x:c r="B40" s="7" t="str">
        <x:v>EFI water-cooled</x:v>
      </x:c>
      <x:c r="C40" s="7" t="n">
        <x:v>0</x:v>
      </x:c>
      <x:c r="D40" s="7" t="n">
        <x:v>0</x:v>
      </x:c>
      <x:c r="E40" s="7" t="n">
        <x:v>0</x:v>
      </x:c>
      <x:c r="F40" s="7" t="n">
        <x:v>0</x:v>
      </x:c>
      <x:c r="G40" s="7" t="n">
        <x:v>0</x:v>
      </x:c>
      <x:c r="H40" s="7" t="n">
        <x:v>0</x:v>
      </x:c>
      <x:c r="I40" s="7" t="n">
        <x:f>SUM(C40:H40)</x:f>
        <x:v>0</x:v>
      </x:c>
      <x:c r="J40" s="7" t="str">
        <x:f>IF(I40&gt;=75,"S",IF(I40&gt;=60,"A",IF(I40&gt;=45,"B",IF(I40&gt;=30,"C","D"))))</x:f>
        <x:v>D</x:v>
      </x:c>
      <x:c r="K40" s="7" t="str">
        <x:v>Engine</x:v>
      </x:c>
      <x:c r="L40" s="7" t="str">
        <x:v>No product-specific evidence</x:v>
      </x:c>
      <x:c r="M40" s="7" t="str">
        <x:v>Frozen baseline; see batch evidence log.</x:v>
      </x:c>
      <x:c r="N40" s="7" t="str">
        <x:v>Low</x:v>
      </x:c>
      <x:c r="O40" s="7" t="str">
        <x:v>Low</x:v>
      </x:c>
      <x:c r="P40" s="7" t="str">
        <x:v>Low</x:v>
      </x:c>
      <x:c r="Q40" s="7" t="str">
        <x:v>Frozen baseline</x:v>
      </x:c>
      <x:c r="R40" s="7" t="str">
        <x:v>VALIDATE FIT</x:v>
      </x:c>
      <x:c r="S40" s="7" t="str">
        <x:v>NOT APPROVED</x:v>
      </x:c>
    </x:row>
    <x:row r="41" ht="30" customHeight="1">
      <x:c r="A41" s="7" t="str">
        <x:v>Uzbekistan</x:v>
      </x:c>
      <x:c r="B41" s="7" t="str">
        <x:v>Engine parts / spares pack</x:v>
      </x:c>
      <x:c r="C41" s="7" t="n">
        <x:v>12</x:v>
      </x:c>
      <x:c r="D41" s="7" t="n">
        <x:v>0</x:v>
      </x:c>
      <x:c r="E41" s="7" t="n">
        <x:v>7</x:v>
      </x:c>
      <x:c r="F41" s="7" t="n">
        <x:v>6</x:v>
      </x:c>
      <x:c r="G41" s="7" t="n">
        <x:v>3</x:v>
      </x:c>
      <x:c r="H41" s="7" t="n">
        <x:v>7</x:v>
      </x:c>
      <x:c r="I41" s="7" t="n">
        <x:f>SUM(C41:H41)</x:f>
        <x:v>35</x:v>
      </x:c>
      <x:c r="J41" s="7" t="str">
        <x:f>IF(I41&gt;=75,"S",IF(I41&gt;=60,"A",IF(I41&gt;=45,"B",IF(I41&gt;=30,"C","D"))))</x:f>
        <x:v>C</x:v>
      </x:c>
      <x:c r="K41" s="7" t="str">
        <x:v>Aftermarket / parts</x:v>
      </x:c>
      <x:c r="L41" s="7" t="str">
        <x:v>P4-UZ-03,P4-UZ-04,P4-UZ-07</x:v>
      </x:c>
      <x:c r="M41" s="7" t="str">
        <x:v>Frozen baseline; see batch evidence log.</x:v>
      </x:c>
      <x:c r="N41" s="7" t="str">
        <x:v>Medium</x:v>
      </x:c>
      <x:c r="O41" s="7" t="str">
        <x:v>Not applicable</x:v>
      </x:c>
      <x:c r="P41" s="7" t="str">
        <x:v>Not applicable</x:v>
      </x:c>
      <x:c r="Q41" s="7" t="str">
        <x:v>Frozen baseline</x:v>
      </x:c>
      <x:c r="R41" s="7" t="str">
        <x:v>VALIDATE ECONOMICS</x:v>
      </x:c>
      <x:c r="S41" s="7" t="str">
        <x:v>NOT APPROVED</x:v>
      </x:c>
    </x:row>
    <x:row r="42" ht="30" customHeight="1">
      <x:c r="A42" s="7" t="str">
        <x:v>Ecuador</x:v>
      </x:c>
      <x:c r="B42" s="7" t="str">
        <x:v>CG125 air-cooled</x:v>
      </x:c>
      <x:c r="C42" s="7" t="n">
        <x:v>8</x:v>
      </x:c>
      <x:c r="D42" s="7" t="n">
        <x:v>0</x:v>
      </x:c>
      <x:c r="E42" s="7" t="n">
        <x:v>6</x:v>
      </x:c>
      <x:c r="F42" s="7" t="n">
        <x:v>5</x:v>
      </x:c>
      <x:c r="G42" s="7" t="n">
        <x:v>0</x:v>
      </x:c>
      <x:c r="H42" s="7" t="n">
        <x:v>0</x:v>
      </x:c>
      <x:c r="I42" s="7" t="n">
        <x:f>SUM(C42:H42)</x:f>
        <x:v>19</x:v>
      </x:c>
      <x:c r="J42" s="7" t="str">
        <x:f>IF(I42&gt;=75,"S",IF(I42&gt;=60,"A",IF(I42&gt;=45,"B",IF(I42&gt;=30,"C","D"))))</x:f>
        <x:v>D</x:v>
      </x:c>
      <x:c r="K42" s="7" t="str">
        <x:v>Engine</x:v>
      </x:c>
      <x:c r="L42" s="7" t="str">
        <x:v>P4-EC-04</x:v>
      </x:c>
      <x:c r="M42" s="7" t="str">
        <x:v>Frozen baseline; see batch evidence log.</x:v>
      </x:c>
      <x:c r="N42" s="7" t="str">
        <x:v>Low</x:v>
      </x:c>
      <x:c r="O42" s="7" t="str">
        <x:v>Low</x:v>
      </x:c>
      <x:c r="P42" s="7" t="str">
        <x:v>Low</x:v>
      </x:c>
      <x:c r="Q42" s="7" t="str">
        <x:v>Frozen baseline</x:v>
      </x:c>
      <x:c r="R42" s="7" t="str">
        <x:v>VALIDATE FIT</x:v>
      </x:c>
      <x:c r="S42" s="7" t="str">
        <x:v>NOT APPROVED</x:v>
      </x:c>
    </x:row>
    <x:row r="43" ht="30" customHeight="1">
      <x:c r="A43" s="7" t="str">
        <x:v>Ecuador</x:v>
      </x:c>
      <x:c r="B43" s="7" t="str">
        <x:v>CG150 air-cooled</x:v>
      </x:c>
      <x:c r="C43" s="7" t="n">
        <x:v>22</x:v>
      </x:c>
      <x:c r="D43" s="7" t="n">
        <x:v>3</x:v>
      </x:c>
      <x:c r="E43" s="7" t="n">
        <x:v>10</x:v>
      </x:c>
      <x:c r="F43" s="7" t="n">
        <x:v>8</x:v>
      </x:c>
      <x:c r="G43" s="7" t="n">
        <x:v>0</x:v>
      </x:c>
      <x:c r="H43" s="7" t="n">
        <x:v>0</x:v>
      </x:c>
      <x:c r="I43" s="7" t="n">
        <x:f>SUM(C43:H43)</x:f>
        <x:v>43</x:v>
      </x:c>
      <x:c r="J43" s="7" t="str">
        <x:f>IF(I43&gt;=75,"S",IF(I43&gt;=60,"A",IF(I43&gt;=45,"B",IF(I43&gt;=30,"C","D"))))</x:f>
        <x:v>C</x:v>
      </x:c>
      <x:c r="K43" s="7" t="str">
        <x:v>Engine</x:v>
      </x:c>
      <x:c r="L43" s="7" t="str">
        <x:v>P4-EC-01,P4-EC-05</x:v>
      </x:c>
      <x:c r="M43" s="7" t="str">
        <x:v>Frozen baseline; see batch evidence log.</x:v>
      </x:c>
      <x:c r="N43" s="7" t="str">
        <x:v>Medium</x:v>
      </x:c>
      <x:c r="O43" s="7" t="str">
        <x:v>Low</x:v>
      </x:c>
      <x:c r="P43" s="7" t="str">
        <x:v>Low</x:v>
      </x:c>
      <x:c r="Q43" s="7" t="str">
        <x:v>Frozen baseline</x:v>
      </x:c>
      <x:c r="R43" s="7" t="str">
        <x:v>VALIDATE FIT</x:v>
      </x:c>
      <x:c r="S43" s="7" t="str">
        <x:v>NOT APPROVED</x:v>
      </x:c>
    </x:row>
    <x:row r="44" ht="30" customHeight="1">
      <x:c r="A44" s="7" t="str">
        <x:v>Ecuador</x:v>
      </x:c>
      <x:c r="B44" s="7" t="str">
        <x:v>CG175 air-cooled</x:v>
      </x:c>
      <x:c r="C44" s="7" t="n">
        <x:v>0</x:v>
      </x:c>
      <x:c r="D44" s="7" t="n">
        <x:v>0</x:v>
      </x:c>
      <x:c r="E44" s="7" t="n">
        <x:v>0</x:v>
      </x:c>
      <x:c r="F44" s="7" t="n">
        <x:v>0</x:v>
      </x:c>
      <x:c r="G44" s="7" t="n">
        <x:v>0</x:v>
      </x:c>
      <x:c r="H44" s="7" t="n">
        <x:v>0</x:v>
      </x:c>
      <x:c r="I44" s="7" t="n">
        <x:f>SUM(C44:H44)</x:f>
        <x:v>0</x:v>
      </x:c>
      <x:c r="J44" s="7" t="str">
        <x:f>IF(I44&gt;=75,"S",IF(I44&gt;=60,"A",IF(I44&gt;=45,"B",IF(I44&gt;=30,"C","D"))))</x:f>
        <x:v>D</x:v>
      </x:c>
      <x:c r="K44" s="7" t="str">
        <x:v>Engine</x:v>
      </x:c>
      <x:c r="L44" s="7" t="str">
        <x:v>No product-specific evidence</x:v>
      </x:c>
      <x:c r="M44" s="7" t="str">
        <x:v>Frozen baseline; see batch evidence log.</x:v>
      </x:c>
      <x:c r="N44" s="7" t="str">
        <x:v>Low</x:v>
      </x:c>
      <x:c r="O44" s="7" t="str">
        <x:v>Low</x:v>
      </x:c>
      <x:c r="P44" s="7" t="str">
        <x:v>Low</x:v>
      </x:c>
      <x:c r="Q44" s="7" t="str">
        <x:v>Frozen baseline</x:v>
      </x:c>
      <x:c r="R44" s="7" t="str">
        <x:v>VALIDATE FIT</x:v>
      </x:c>
      <x:c r="S44" s="7" t="str">
        <x:v>NOT APPROVED</x:v>
      </x:c>
    </x:row>
    <x:row r="45" ht="30" customHeight="1">
      <x:c r="A45" s="7" t="str">
        <x:v>Ecuador</x:v>
      </x:c>
      <x:c r="B45" s="7" t="str">
        <x:v>CG200 air-cooled</x:v>
      </x:c>
      <x:c r="C45" s="7" t="n">
        <x:v>12</x:v>
      </x:c>
      <x:c r="D45" s="7" t="n">
        <x:v>0</x:v>
      </x:c>
      <x:c r="E45" s="7" t="n">
        <x:v>12</x:v>
      </x:c>
      <x:c r="F45" s="7" t="n">
        <x:v>7</x:v>
      </x:c>
      <x:c r="G45" s="7" t="n">
        <x:v>0</x:v>
      </x:c>
      <x:c r="H45" s="7" t="n">
        <x:v>0</x:v>
      </x:c>
      <x:c r="I45" s="7" t="n">
        <x:f>SUM(C45:H45)</x:f>
        <x:v>31</x:v>
      </x:c>
      <x:c r="J45" s="7" t="str">
        <x:f>IF(I45&gt;=75,"S",IF(I45&gt;=60,"A",IF(I45&gt;=45,"B",IF(I45&gt;=30,"C","D"))))</x:f>
        <x:v>C</x:v>
      </x:c>
      <x:c r="K45" s="7" t="str">
        <x:v>Engine</x:v>
      </x:c>
      <x:c r="L45" s="7" t="str">
        <x:v>P4-EC-02,P4-EC-03,P4-EC-04</x:v>
      </x:c>
      <x:c r="M45" s="7" t="str">
        <x:v>Frozen baseline; see batch evidence log.</x:v>
      </x:c>
      <x:c r="N45" s="7" t="str">
        <x:v>Medium</x:v>
      </x:c>
      <x:c r="O45" s="7" t="str">
        <x:v>Low</x:v>
      </x:c>
      <x:c r="P45" s="7" t="str">
        <x:v>Low</x:v>
      </x:c>
      <x:c r="Q45" s="7" t="str">
        <x:v>Frozen baseline</x:v>
      </x:c>
      <x:c r="R45" s="7" t="str">
        <x:v>VALIDATE FIT</x:v>
      </x:c>
      <x:c r="S45" s="7" t="str">
        <x:v>NOT APPROVED</x:v>
      </x:c>
    </x:row>
    <x:row r="46" ht="30" customHeight="1">
      <x:c r="A46" s="7" t="str">
        <x:v>Ecuador</x:v>
      </x:c>
      <x:c r="B46" s="7" t="str">
        <x:v>CG250 air-cooled</x:v>
      </x:c>
      <x:c r="C46" s="7" t="n">
        <x:v>0</x:v>
      </x:c>
      <x:c r="D46" s="7" t="n">
        <x:v>0</x:v>
      </x:c>
      <x:c r="E46" s="7" t="n">
        <x:v>0</x:v>
      </x:c>
      <x:c r="F46" s="7" t="n">
        <x:v>0</x:v>
      </x:c>
      <x:c r="G46" s="7" t="n">
        <x:v>0</x:v>
      </x:c>
      <x:c r="H46" s="7" t="n">
        <x:v>0</x:v>
      </x:c>
      <x:c r="I46" s="7" t="n">
        <x:f>SUM(C46:H46)</x:f>
        <x:v>0</x:v>
      </x:c>
      <x:c r="J46" s="7" t="str">
        <x:f>IF(I46&gt;=75,"S",IF(I46&gt;=60,"A",IF(I46&gt;=45,"B",IF(I46&gt;=30,"C","D"))))</x:f>
        <x:v>D</x:v>
      </x:c>
      <x:c r="K46" s="7" t="str">
        <x:v>Engine</x:v>
      </x:c>
      <x:c r="L46" s="7" t="str">
        <x:v>No product-specific evidence</x:v>
      </x:c>
      <x:c r="M46" s="7" t="str">
        <x:v>Frozen baseline; see batch evidence log.</x:v>
      </x:c>
      <x:c r="N46" s="7" t="str">
        <x:v>Low</x:v>
      </x:c>
      <x:c r="O46" s="7" t="str">
        <x:v>Low</x:v>
      </x:c>
      <x:c r="P46" s="7" t="str">
        <x:v>Low</x:v>
      </x:c>
      <x:c r="Q46" s="7" t="str">
        <x:v>Frozen baseline</x:v>
      </x:c>
      <x:c r="R46" s="7" t="str">
        <x:v>VALIDATE FIT</x:v>
      </x:c>
      <x:c r="S46" s="7" t="str">
        <x:v>NOT APPROVED</x:v>
      </x:c>
    </x:row>
    <x:row r="47" ht="30" customHeight="1">
      <x:c r="A47" s="7" t="str">
        <x:v>Ecuador</x:v>
      </x:c>
      <x:c r="B47" s="7" t="str">
        <x:v>CG150-250 water-cooled cargo</x:v>
      </x:c>
      <x:c r="C47" s="7" t="n">
        <x:v>5</x:v>
      </x:c>
      <x:c r="D47" s="7" t="n">
        <x:v>0</x:v>
      </x:c>
      <x:c r="E47" s="7" t="n">
        <x:v>2</x:v>
      </x:c>
      <x:c r="F47" s="7" t="n">
        <x:v>3</x:v>
      </x:c>
      <x:c r="G47" s="7" t="n">
        <x:v>0</x:v>
      </x:c>
      <x:c r="H47" s="7" t="n">
        <x:v>0</x:v>
      </x:c>
      <x:c r="I47" s="7" t="n">
        <x:f>SUM(C47:H47)</x:f>
        <x:v>10</x:v>
      </x:c>
      <x:c r="J47" s="7" t="str">
        <x:f>IF(I47&gt;=75,"S",IF(I47&gt;=60,"A",IF(I47&gt;=45,"B",IF(I47&gt;=30,"C","D"))))</x:f>
        <x:v>D</x:v>
      </x:c>
      <x:c r="K47" s="7" t="str">
        <x:v>Engine</x:v>
      </x:c>
      <x:c r="L47" s="7" t="str">
        <x:v>P4-EC-05</x:v>
      </x:c>
      <x:c r="M47" s="7" t="str">
        <x:v>Frozen baseline; see batch evidence log.</x:v>
      </x:c>
      <x:c r="N47" s="7" t="str">
        <x:v>Low</x:v>
      </x:c>
      <x:c r="O47" s="7" t="str">
        <x:v>Low</x:v>
      </x:c>
      <x:c r="P47" s="7" t="str">
        <x:v>Low</x:v>
      </x:c>
      <x:c r="Q47" s="7" t="str">
        <x:v>Frozen baseline</x:v>
      </x:c>
      <x:c r="R47" s="7" t="str">
        <x:v>VALIDATE FIT</x:v>
      </x:c>
      <x:c r="S47" s="7" t="str">
        <x:v>NOT APPROVED</x:v>
      </x:c>
    </x:row>
    <x:row r="48" ht="30" customHeight="1">
      <x:c r="A48" s="7" t="str">
        <x:v>Ecuador</x:v>
      </x:c>
      <x:c r="B48" s="7" t="str">
        <x:v>Tsunami water-cooled / dual-cooled</x:v>
      </x:c>
      <x:c r="C48" s="7" t="n">
        <x:v>0</x:v>
      </x:c>
      <x:c r="D48" s="7" t="n">
        <x:v>0</x:v>
      </x:c>
      <x:c r="E48" s="7" t="n">
        <x:v>0</x:v>
      </x:c>
      <x:c r="F48" s="7" t="n">
        <x:v>0</x:v>
      </x:c>
      <x:c r="G48" s="7" t="n">
        <x:v>0</x:v>
      </x:c>
      <x:c r="H48" s="7" t="n">
        <x:v>0</x:v>
      </x:c>
      <x:c r="I48" s="7" t="n">
        <x:f>SUM(C48:H48)</x:f>
        <x:v>0</x:v>
      </x:c>
      <x:c r="J48" s="7" t="str">
        <x:f>IF(I48&gt;=75,"S",IF(I48&gt;=60,"A",IF(I48&gt;=45,"B",IF(I48&gt;=30,"C","D"))))</x:f>
        <x:v>D</x:v>
      </x:c>
      <x:c r="K48" s="7" t="str">
        <x:v>Engine</x:v>
      </x:c>
      <x:c r="L48" s="7" t="str">
        <x:v>No product-specific evidence</x:v>
      </x:c>
      <x:c r="M48" s="7" t="str">
        <x:v>Frozen baseline; see batch evidence log.</x:v>
      </x:c>
      <x:c r="N48" s="7" t="str">
        <x:v>Low</x:v>
      </x:c>
      <x:c r="O48" s="7" t="str">
        <x:v>Low</x:v>
      </x:c>
      <x:c r="P48" s="7" t="str">
        <x:v>Low</x:v>
      </x:c>
      <x:c r="Q48" s="7" t="str">
        <x:v>Frozen baseline</x:v>
      </x:c>
      <x:c r="R48" s="7" t="str">
        <x:v>VALIDATE FIT</x:v>
      </x:c>
      <x:c r="S48" s="7" t="str">
        <x:v>NOT APPROVED</x:v>
      </x:c>
    </x:row>
    <x:row r="49" ht="30" customHeight="1">
      <x:c r="A49" s="7" t="str">
        <x:v>Ecuador</x:v>
      </x:c>
      <x:c r="B49" s="7" t="str">
        <x:v>Hanwei 200</x:v>
      </x:c>
      <x:c r="C49" s="7" t="n">
        <x:v>0</x:v>
      </x:c>
      <x:c r="D49" s="7" t="n">
        <x:v>0</x:v>
      </x:c>
      <x:c r="E49" s="7" t="n">
        <x:v>0</x:v>
      </x:c>
      <x:c r="F49" s="7" t="n">
        <x:v>0</x:v>
      </x:c>
      <x:c r="G49" s="7" t="n">
        <x:v>0</x:v>
      </x:c>
      <x:c r="H49" s="7" t="n">
        <x:v>0</x:v>
      </x:c>
      <x:c r="I49" s="7" t="n">
        <x:f>SUM(C49:H49)</x:f>
        <x:v>0</x:v>
      </x:c>
      <x:c r="J49" s="7" t="str">
        <x:f>IF(I49&gt;=75,"S",IF(I49&gt;=60,"A",IF(I49&gt;=45,"B",IF(I49&gt;=30,"C","D"))))</x:f>
        <x:v>D</x:v>
      </x:c>
      <x:c r="K49" s="7" t="str">
        <x:v>Engine</x:v>
      </x:c>
      <x:c r="L49" s="7" t="str">
        <x:v>No product-specific evidence</x:v>
      </x:c>
      <x:c r="M49" s="7" t="str">
        <x:v>Frozen baseline; see batch evidence log.</x:v>
      </x:c>
      <x:c r="N49" s="7" t="str">
        <x:v>Low</x:v>
      </x:c>
      <x:c r="O49" s="7" t="str">
        <x:v>Low</x:v>
      </x:c>
      <x:c r="P49" s="7" t="str">
        <x:v>Low</x:v>
      </x:c>
      <x:c r="Q49" s="7" t="str">
        <x:v>Frozen baseline</x:v>
      </x:c>
      <x:c r="R49" s="7" t="str">
        <x:v>VALIDATE FIT</x:v>
      </x:c>
      <x:c r="S49" s="7" t="str">
        <x:v>NOT APPROVED</x:v>
      </x:c>
    </x:row>
    <x:row r="50" ht="30" customHeight="1">
      <x:c r="A50" s="7" t="str">
        <x:v>Ecuador</x:v>
      </x:c>
      <x:c r="B50" s="7" t="str">
        <x:v>Hanwei 250</x:v>
      </x:c>
      <x:c r="C50" s="7" t="n">
        <x:v>0</x:v>
      </x:c>
      <x:c r="D50" s="7" t="n">
        <x:v>0</x:v>
      </x:c>
      <x:c r="E50" s="7" t="n">
        <x:v>0</x:v>
      </x:c>
      <x:c r="F50" s="7" t="n">
        <x:v>0</x:v>
      </x:c>
      <x:c r="G50" s="7" t="n">
        <x:v>0</x:v>
      </x:c>
      <x:c r="H50" s="7" t="n">
        <x:v>0</x:v>
      </x:c>
      <x:c r="I50" s="7" t="n">
        <x:f>SUM(C50:H50)</x:f>
        <x:v>0</x:v>
      </x:c>
      <x:c r="J50" s="7" t="str">
        <x:f>IF(I50&gt;=75,"S",IF(I50&gt;=60,"A",IF(I50&gt;=45,"B",IF(I50&gt;=30,"C","D"))))</x:f>
        <x:v>D</x:v>
      </x:c>
      <x:c r="K50" s="7" t="str">
        <x:v>Engine</x:v>
      </x:c>
      <x:c r="L50" s="7" t="str">
        <x:v>No product-specific evidence</x:v>
      </x:c>
      <x:c r="M50" s="7" t="str">
        <x:v>Frozen baseline; see batch evidence log.</x:v>
      </x:c>
      <x:c r="N50" s="7" t="str">
        <x:v>Low</x:v>
      </x:c>
      <x:c r="O50" s="7" t="str">
        <x:v>Low</x:v>
      </x:c>
      <x:c r="P50" s="7" t="str">
        <x:v>Low</x:v>
      </x:c>
      <x:c r="Q50" s="7" t="str">
        <x:v>Frozen baseline</x:v>
      </x:c>
      <x:c r="R50" s="7" t="str">
        <x:v>VALIDATE FIT</x:v>
      </x:c>
      <x:c r="S50" s="7" t="str">
        <x:v>NOT APPROVED</x:v>
      </x:c>
    </x:row>
    <x:row r="51" ht="30" customHeight="1">
      <x:c r="A51" s="7" t="str">
        <x:v>Ecuador</x:v>
      </x:c>
      <x:c r="B51" s="7" t="str">
        <x:v>Hanwei 300</x:v>
      </x:c>
      <x:c r="C51" s="7" t="n">
        <x:v>0</x:v>
      </x:c>
      <x:c r="D51" s="7" t="n">
        <x:v>0</x:v>
      </x:c>
      <x:c r="E51" s="7" t="n">
        <x:v>0</x:v>
      </x:c>
      <x:c r="F51" s="7" t="n">
        <x:v>0</x:v>
      </x:c>
      <x:c r="G51" s="7" t="n">
        <x:v>0</x:v>
      </x:c>
      <x:c r="H51" s="7" t="n">
        <x:v>0</x:v>
      </x:c>
      <x:c r="I51" s="7" t="n">
        <x:f>SUM(C51:H51)</x:f>
        <x:v>0</x:v>
      </x:c>
      <x:c r="J51" s="7" t="str">
        <x:f>IF(I51&gt;=75,"S",IF(I51&gt;=60,"A",IF(I51&gt;=45,"B",IF(I51&gt;=30,"C","D"))))</x:f>
        <x:v>D</x:v>
      </x:c>
      <x:c r="K51" s="7" t="str">
        <x:v>Engine</x:v>
      </x:c>
      <x:c r="L51" s="7" t="str">
        <x:v>No product-specific evidence</x:v>
      </x:c>
      <x:c r="M51" s="7" t="str">
        <x:v>Frozen baseline; see batch evidence log.</x:v>
      </x:c>
      <x:c r="N51" s="7" t="str">
        <x:v>Low</x:v>
      </x:c>
      <x:c r="O51" s="7" t="str">
        <x:v>Low</x:v>
      </x:c>
      <x:c r="P51" s="7" t="str">
        <x:v>Low</x:v>
      </x:c>
      <x:c r="Q51" s="7" t="str">
        <x:v>Frozen baseline</x:v>
      </x:c>
      <x:c r="R51" s="7" t="str">
        <x:v>VALIDATE FIT</x:v>
      </x:c>
      <x:c r="S51" s="7" t="str">
        <x:v>NOT APPROVED</x:v>
      </x:c>
    </x:row>
    <x:row r="52" ht="30" customHeight="1">
      <x:c r="A52" s="7" t="str">
        <x:v>Ecuador</x:v>
      </x:c>
      <x:c r="B52" s="7" t="str">
        <x:v>Honda-style 110 horizontal</x:v>
      </x:c>
      <x:c r="C52" s="7" t="n">
        <x:v>0</x:v>
      </x:c>
      <x:c r="D52" s="7" t="n">
        <x:v>0</x:v>
      </x:c>
      <x:c r="E52" s="7" t="n">
        <x:v>0</x:v>
      </x:c>
      <x:c r="F52" s="7" t="n">
        <x:v>0</x:v>
      </x:c>
      <x:c r="G52" s="7" t="n">
        <x:v>0</x:v>
      </x:c>
      <x:c r="H52" s="7" t="n">
        <x:v>0</x:v>
      </x:c>
      <x:c r="I52" s="7" t="n">
        <x:f>SUM(C52:H52)</x:f>
        <x:v>0</x:v>
      </x:c>
      <x:c r="J52" s="7" t="str">
        <x:f>IF(I52&gt;=75,"S",IF(I52&gt;=60,"A",IF(I52&gt;=45,"B",IF(I52&gt;=30,"C","D"))))</x:f>
        <x:v>D</x:v>
      </x:c>
      <x:c r="K52" s="7" t="str">
        <x:v>Engine</x:v>
      </x:c>
      <x:c r="L52" s="7" t="str">
        <x:v>No product-specific evidence</x:v>
      </x:c>
      <x:c r="M52" s="7" t="str">
        <x:v>Frozen baseline; see batch evidence log.</x:v>
      </x:c>
      <x:c r="N52" s="7" t="str">
        <x:v>Low</x:v>
      </x:c>
      <x:c r="O52" s="7" t="str">
        <x:v>Low</x:v>
      </x:c>
      <x:c r="P52" s="7" t="str">
        <x:v>Low</x:v>
      </x:c>
      <x:c r="Q52" s="7" t="str">
        <x:v>Frozen baseline</x:v>
      </x:c>
      <x:c r="R52" s="7" t="str">
        <x:v>VALIDATE FIT</x:v>
      </x:c>
      <x:c r="S52" s="7" t="str">
        <x:v>NOT APPROVED</x:v>
      </x:c>
    </x:row>
    <x:row r="53" ht="30" customHeight="1">
      <x:c r="A53" s="7" t="str">
        <x:v>Ecuador</x:v>
      </x:c>
      <x:c r="B53" s="7" t="str">
        <x:v>Honda-style 125 horizontal</x:v>
      </x:c>
      <x:c r="C53" s="7" t="n">
        <x:v>0</x:v>
      </x:c>
      <x:c r="D53" s="7" t="n">
        <x:v>0</x:v>
      </x:c>
      <x:c r="E53" s="7" t="n">
        <x:v>0</x:v>
      </x:c>
      <x:c r="F53" s="7" t="n">
        <x:v>0</x:v>
      </x:c>
      <x:c r="G53" s="7" t="n">
        <x:v>0</x:v>
      </x:c>
      <x:c r="H53" s="7" t="n">
        <x:v>0</x:v>
      </x:c>
      <x:c r="I53" s="7" t="n">
        <x:f>SUM(C53:H53)</x:f>
        <x:v>0</x:v>
      </x:c>
      <x:c r="J53" s="7" t="str">
        <x:f>IF(I53&gt;=75,"S",IF(I53&gt;=60,"A",IF(I53&gt;=45,"B",IF(I53&gt;=30,"C","D"))))</x:f>
        <x:v>D</x:v>
      </x:c>
      <x:c r="K53" s="7" t="str">
        <x:v>Engine</x:v>
      </x:c>
      <x:c r="L53" s="7" t="str">
        <x:v>No product-specific evidence</x:v>
      </x:c>
      <x:c r="M53" s="7" t="str">
        <x:v>Frozen baseline; see batch evidence log.</x:v>
      </x:c>
      <x:c r="N53" s="7" t="str">
        <x:v>Low</x:v>
      </x:c>
      <x:c r="O53" s="7" t="str">
        <x:v>Low</x:v>
      </x:c>
      <x:c r="P53" s="7" t="str">
        <x:v>Low</x:v>
      </x:c>
      <x:c r="Q53" s="7" t="str">
        <x:v>Frozen baseline</x:v>
      </x:c>
      <x:c r="R53" s="7" t="str">
        <x:v>VALIDATE FIT</x:v>
      </x:c>
      <x:c r="S53" s="7" t="str">
        <x:v>NOT APPROVED</x:v>
      </x:c>
    </x:row>
    <x:row r="54" ht="30" customHeight="1">
      <x:c r="A54" s="7" t="str">
        <x:v>Ecuador</x:v>
      </x:c>
      <x:c r="B54" s="7" t="str">
        <x:v>Honda-style 130/140 horizontal</x:v>
      </x:c>
      <x:c r="C54" s="7" t="n">
        <x:v>0</x:v>
      </x:c>
      <x:c r="D54" s="7" t="n">
        <x:v>0</x:v>
      </x:c>
      <x:c r="E54" s="7" t="n">
        <x:v>0</x:v>
      </x:c>
      <x:c r="F54" s="7" t="n">
        <x:v>0</x:v>
      </x:c>
      <x:c r="G54" s="7" t="n">
        <x:v>0</x:v>
      </x:c>
      <x:c r="H54" s="7" t="n">
        <x:v>0</x:v>
      </x:c>
      <x:c r="I54" s="7" t="n">
        <x:f>SUM(C54:H54)</x:f>
        <x:v>0</x:v>
      </x:c>
      <x:c r="J54" s="7" t="str">
        <x:f>IF(I54&gt;=75,"S",IF(I54&gt;=60,"A",IF(I54&gt;=45,"B",IF(I54&gt;=30,"C","D"))))</x:f>
        <x:v>D</x:v>
      </x:c>
      <x:c r="K54" s="7" t="str">
        <x:v>Engine</x:v>
      </x:c>
      <x:c r="L54" s="7" t="str">
        <x:v>No product-specific evidence</x:v>
      </x:c>
      <x:c r="M54" s="7" t="str">
        <x:v>Frozen baseline; see batch evidence log.</x:v>
      </x:c>
      <x:c r="N54" s="7" t="str">
        <x:v>Low</x:v>
      </x:c>
      <x:c r="O54" s="7" t="str">
        <x:v>Low</x:v>
      </x:c>
      <x:c r="P54" s="7" t="str">
        <x:v>Low</x:v>
      </x:c>
      <x:c r="Q54" s="7" t="str">
        <x:v>Frozen baseline</x:v>
      </x:c>
      <x:c r="R54" s="7" t="str">
        <x:v>VALIDATE FIT</x:v>
      </x:c>
      <x:c r="S54" s="7" t="str">
        <x:v>NOT APPROVED</x:v>
      </x:c>
    </x:row>
    <x:row r="55" ht="30" customHeight="1">
      <x:c r="A55" s="7" t="str">
        <x:v>Ecuador</x:v>
      </x:c>
      <x:c r="B55" s="7" t="str">
        <x:v>Automatic-clutch CG</x:v>
      </x:c>
      <x:c r="C55" s="7" t="n">
        <x:v>0</x:v>
      </x:c>
      <x:c r="D55" s="7" t="n">
        <x:v>0</x:v>
      </x:c>
      <x:c r="E55" s="7" t="n">
        <x:v>0</x:v>
      </x:c>
      <x:c r="F55" s="7" t="n">
        <x:v>0</x:v>
      </x:c>
      <x:c r="G55" s="7" t="n">
        <x:v>0</x:v>
      </x:c>
      <x:c r="H55" s="7" t="n">
        <x:v>0</x:v>
      </x:c>
      <x:c r="I55" s="7" t="n">
        <x:f>SUM(C55:H55)</x:f>
        <x:v>0</x:v>
      </x:c>
      <x:c r="J55" s="7" t="str">
        <x:f>IF(I55&gt;=75,"S",IF(I55&gt;=60,"A",IF(I55&gt;=45,"B",IF(I55&gt;=30,"C","D"))))</x:f>
        <x:v>D</x:v>
      </x:c>
      <x:c r="K55" s="7" t="str">
        <x:v>Engine</x:v>
      </x:c>
      <x:c r="L55" s="7" t="str">
        <x:v>No product-specific evidence</x:v>
      </x:c>
      <x:c r="M55" s="7" t="str">
        <x:v>Frozen baseline; see batch evidence log.</x:v>
      </x:c>
      <x:c r="N55" s="7" t="str">
        <x:v>Low</x:v>
      </x:c>
      <x:c r="O55" s="7" t="str">
        <x:v>Low</x:v>
      </x:c>
      <x:c r="P55" s="7" t="str">
        <x:v>Low</x:v>
      </x:c>
      <x:c r="Q55" s="7" t="str">
        <x:v>Frozen baseline</x:v>
      </x:c>
      <x:c r="R55" s="7" t="str">
        <x:v>VALIDATE FIT</x:v>
      </x:c>
      <x:c r="S55" s="7" t="str">
        <x:v>NOT APPROVED</x:v>
      </x:c>
    </x:row>
    <x:row r="56" ht="30" customHeight="1">
      <x:c r="A56" s="7" t="str">
        <x:v>Ecuador</x:v>
      </x:c>
      <x:c r="B56" s="7" t="str">
        <x:v>CB150/200/250 off-road</x:v>
      </x:c>
      <x:c r="C56" s="7" t="n">
        <x:v>0</x:v>
      </x:c>
      <x:c r="D56" s="7" t="n">
        <x:v>0</x:v>
      </x:c>
      <x:c r="E56" s="7" t="n">
        <x:v>0</x:v>
      </x:c>
      <x:c r="F56" s="7" t="n">
        <x:v>0</x:v>
      </x:c>
      <x:c r="G56" s="7" t="n">
        <x:v>0</x:v>
      </x:c>
      <x:c r="H56" s="7" t="n">
        <x:v>0</x:v>
      </x:c>
      <x:c r="I56" s="7" t="n">
        <x:f>SUM(C56:H56)</x:f>
        <x:v>0</x:v>
      </x:c>
      <x:c r="J56" s="7" t="str">
        <x:f>IF(I56&gt;=75,"S",IF(I56&gt;=60,"A",IF(I56&gt;=45,"B",IF(I56&gt;=30,"C","D"))))</x:f>
        <x:v>D</x:v>
      </x:c>
      <x:c r="K56" s="7" t="str">
        <x:v>Engine</x:v>
      </x:c>
      <x:c r="L56" s="7" t="str">
        <x:v>No product-specific evidence</x:v>
      </x:c>
      <x:c r="M56" s="7" t="str">
        <x:v>Frozen baseline; see batch evidence log.</x:v>
      </x:c>
      <x:c r="N56" s="7" t="str">
        <x:v>Low</x:v>
      </x:c>
      <x:c r="O56" s="7" t="str">
        <x:v>Low</x:v>
      </x:c>
      <x:c r="P56" s="7" t="str">
        <x:v>Low</x:v>
      </x:c>
      <x:c r="Q56" s="7" t="str">
        <x:v>Frozen baseline</x:v>
      </x:c>
      <x:c r="R56" s="7" t="str">
        <x:v>VALIDATE FIT</x:v>
      </x:c>
      <x:c r="S56" s="7" t="str">
        <x:v>NOT APPROVED</x:v>
      </x:c>
    </x:row>
    <x:row r="57" ht="30" customHeight="1">
      <x:c r="A57" s="7" t="str">
        <x:v>Ecuador</x:v>
      </x:c>
      <x:c r="B57" s="7" t="str">
        <x:v>EFI water-cooled</x:v>
      </x:c>
      <x:c r="C57" s="7" t="n">
        <x:v>0</x:v>
      </x:c>
      <x:c r="D57" s="7" t="n">
        <x:v>0</x:v>
      </x:c>
      <x:c r="E57" s="7" t="n">
        <x:v>0</x:v>
      </x:c>
      <x:c r="F57" s="7" t="n">
        <x:v>0</x:v>
      </x:c>
      <x:c r="G57" s="7" t="n">
        <x:v>0</x:v>
      </x:c>
      <x:c r="H57" s="7" t="n">
        <x:v>0</x:v>
      </x:c>
      <x:c r="I57" s="7" t="n">
        <x:f>SUM(C57:H57)</x:f>
        <x:v>0</x:v>
      </x:c>
      <x:c r="J57" s="7" t="str">
        <x:f>IF(I57&gt;=75,"S",IF(I57&gt;=60,"A",IF(I57&gt;=45,"B",IF(I57&gt;=30,"C","D"))))</x:f>
        <x:v>D</x:v>
      </x:c>
      <x:c r="K57" s="7" t="str">
        <x:v>Engine</x:v>
      </x:c>
      <x:c r="L57" s="7" t="str">
        <x:v>No product-specific evidence</x:v>
      </x:c>
      <x:c r="M57" s="7" t="str">
        <x:v>Frozen baseline; see batch evidence log.</x:v>
      </x:c>
      <x:c r="N57" s="7" t="str">
        <x:v>Low</x:v>
      </x:c>
      <x:c r="O57" s="7" t="str">
        <x:v>Low</x:v>
      </x:c>
      <x:c r="P57" s="7" t="str">
        <x:v>Low</x:v>
      </x:c>
      <x:c r="Q57" s="7" t="str">
        <x:v>Frozen baseline</x:v>
      </x:c>
      <x:c r="R57" s="7" t="str">
        <x:v>VALIDATE FIT</x:v>
      </x:c>
      <x:c r="S57" s="7" t="str">
        <x:v>NOT APPROVED</x:v>
      </x:c>
    </x:row>
    <x:row r="58" ht="30" customHeight="1">
      <x:c r="A58" s="7" t="str">
        <x:v>Ecuador</x:v>
      </x:c>
      <x:c r="B58" s="7" t="str">
        <x:v>Engine parts / spares pack</x:v>
      </x:c>
      <x:c r="C58" s="7" t="n">
        <x:v>20</x:v>
      </x:c>
      <x:c r="D58" s="7" t="n">
        <x:v>0</x:v>
      </x:c>
      <x:c r="E58" s="7" t="n">
        <x:v>12</x:v>
      </x:c>
      <x:c r="F58" s="7" t="n">
        <x:v>8</x:v>
      </x:c>
      <x:c r="G58" s="7" t="n">
        <x:v>0</x:v>
      </x:c>
      <x:c r="H58" s="7" t="n">
        <x:v>0</x:v>
      </x:c>
      <x:c r="I58" s="7" t="n">
        <x:f>SUM(C58:H58)</x:f>
        <x:v>40</x:v>
      </x:c>
      <x:c r="J58" s="7" t="str">
        <x:f>IF(I58&gt;=75,"S",IF(I58&gt;=60,"A",IF(I58&gt;=45,"B",IF(I58&gt;=30,"C","D"))))</x:f>
        <x:v>C</x:v>
      </x:c>
      <x:c r="K58" s="7" t="str">
        <x:v>Aftermarket / parts</x:v>
      </x:c>
      <x:c r="L58" s="7" t="str">
        <x:v>P4-EC-02,P4-EC-03,P4-EC-04</x:v>
      </x:c>
      <x:c r="M58" s="7" t="str">
        <x:v>Frozen baseline; see batch evidence log.</x:v>
      </x:c>
      <x:c r="N58" s="7" t="str">
        <x:v>High</x:v>
      </x:c>
      <x:c r="O58" s="7" t="str">
        <x:v>Not applicable</x:v>
      </x:c>
      <x:c r="P58" s="7" t="str">
        <x:v>Not applicable</x:v>
      </x:c>
      <x:c r="Q58" s="7" t="str">
        <x:v>Frozen baseline</x:v>
      </x:c>
      <x:c r="R58" s="7" t="str">
        <x:v>VALIDATE FIT</x:v>
      </x:c>
      <x:c r="S58" s="7" t="str">
        <x:v>NOT APPROVED</x:v>
      </x:c>
    </x:row>
    <x:row r="59" ht="30" customHeight="1">
      <x:c r="A59" s="7" t="str">
        <x:v>Tanzania</x:v>
      </x:c>
      <x:c r="B59" s="7" t="str">
        <x:v>CG125 air-cooled</x:v>
      </x:c>
      <x:c r="C59" s="7" t="n">
        <x:v>15</x:v>
      </x:c>
      <x:c r="D59" s="7" t="n">
        <x:v>0</x:v>
      </x:c>
      <x:c r="E59" s="7" t="n">
        <x:v>8</x:v>
      </x:c>
      <x:c r="F59" s="7" t="n">
        <x:v>7</x:v>
      </x:c>
      <x:c r="G59" s="7" t="n">
        <x:v>0</x:v>
      </x:c>
      <x:c r="H59" s="7" t="n">
        <x:v>0</x:v>
      </x:c>
      <x:c r="I59" s="7" t="n">
        <x:f>SUM(C59:H59)</x:f>
        <x:v>30</x:v>
      </x:c>
      <x:c r="J59" s="7" t="str">
        <x:f>IF(I59&gt;=75,"S",IF(I59&gt;=60,"A",IF(I59&gt;=45,"B",IF(I59&gt;=30,"C","D"))))</x:f>
        <x:v>C</x:v>
      </x:c>
      <x:c r="K59" s="7" t="str">
        <x:v>Engine</x:v>
      </x:c>
      <x:c r="L59" s="7" t="str">
        <x:v>P4-TZ-01,P4-TZ-05</x:v>
      </x:c>
      <x:c r="M59" s="7" t="str">
        <x:v>Frozen baseline; see batch evidence log.</x:v>
      </x:c>
      <x:c r="N59" s="7" t="str">
        <x:v>Medium</x:v>
      </x:c>
      <x:c r="O59" s="7" t="str">
        <x:v>Low</x:v>
      </x:c>
      <x:c r="P59" s="7" t="str">
        <x:v>Low</x:v>
      </x:c>
      <x:c r="Q59" s="7" t="str">
        <x:v>Frozen baseline</x:v>
      </x:c>
      <x:c r="R59" s="7" t="str">
        <x:v>VALIDATE FIT</x:v>
      </x:c>
      <x:c r="S59" s="7" t="str">
        <x:v>NOT APPROVED</x:v>
      </x:c>
    </x:row>
    <x:row r="60" ht="30" customHeight="1">
      <x:c r="A60" s="7" t="str">
        <x:v>Tanzania</x:v>
      </x:c>
      <x:c r="B60" s="7" t="str">
        <x:v>CG150 air-cooled</x:v>
      </x:c>
      <x:c r="C60" s="7" t="n">
        <x:v>18</x:v>
      </x:c>
      <x:c r="D60" s="7" t="n">
        <x:v>0</x:v>
      </x:c>
      <x:c r="E60" s="7" t="n">
        <x:v>10</x:v>
      </x:c>
      <x:c r="F60" s="7" t="n">
        <x:v>8</x:v>
      </x:c>
      <x:c r="G60" s="7" t="n">
        <x:v>0</x:v>
      </x:c>
      <x:c r="H60" s="7" t="n">
        <x:v>0</x:v>
      </x:c>
      <x:c r="I60" s="7" t="n">
        <x:f>SUM(C60:H60)</x:f>
        <x:v>36</x:v>
      </x:c>
      <x:c r="J60" s="7" t="str">
        <x:f>IF(I60&gt;=75,"S",IF(I60&gt;=60,"A",IF(I60&gt;=45,"B",IF(I60&gt;=30,"C","D"))))</x:f>
        <x:v>C</x:v>
      </x:c>
      <x:c r="K60" s="7" t="str">
        <x:v>Engine</x:v>
      </x:c>
      <x:c r="L60" s="7" t="str">
        <x:v>P4-TZ-01,P4-TZ-02,P4-TZ-03</x:v>
      </x:c>
      <x:c r="M60" s="7" t="str">
        <x:v>Frozen baseline; see batch evidence log.</x:v>
      </x:c>
      <x:c r="N60" s="7" t="str">
        <x:v>Medium</x:v>
      </x:c>
      <x:c r="O60" s="7" t="str">
        <x:v>Low</x:v>
      </x:c>
      <x:c r="P60" s="7" t="str">
        <x:v>Low</x:v>
      </x:c>
      <x:c r="Q60" s="7" t="str">
        <x:v>Frozen baseline</x:v>
      </x:c>
      <x:c r="R60" s="7" t="str">
        <x:v>VALIDATE FIT</x:v>
      </x:c>
      <x:c r="S60" s="7" t="str">
        <x:v>NOT APPROVED</x:v>
      </x:c>
    </x:row>
    <x:row r="61" ht="30" customHeight="1">
      <x:c r="A61" s="7" t="str">
        <x:v>Tanzania</x:v>
      </x:c>
      <x:c r="B61" s="7" t="str">
        <x:v>CG175 air-cooled</x:v>
      </x:c>
      <x:c r="C61" s="7" t="n">
        <x:v>0</x:v>
      </x:c>
      <x:c r="D61" s="7" t="n">
        <x:v>0</x:v>
      </x:c>
      <x:c r="E61" s="7" t="n">
        <x:v>0</x:v>
      </x:c>
      <x:c r="F61" s="7" t="n">
        <x:v>0</x:v>
      </x:c>
      <x:c r="G61" s="7" t="n">
        <x:v>0</x:v>
      </x:c>
      <x:c r="H61" s="7" t="n">
        <x:v>0</x:v>
      </x:c>
      <x:c r="I61" s="7" t="n">
        <x:f>SUM(C61:H61)</x:f>
        <x:v>0</x:v>
      </x:c>
      <x:c r="J61" s="7" t="str">
        <x:f>IF(I61&gt;=75,"S",IF(I61&gt;=60,"A",IF(I61&gt;=45,"B",IF(I61&gt;=30,"C","D"))))</x:f>
        <x:v>D</x:v>
      </x:c>
      <x:c r="K61" s="7" t="str">
        <x:v>Engine</x:v>
      </x:c>
      <x:c r="L61" s="7" t="str">
        <x:v>No product-specific evidence</x:v>
      </x:c>
      <x:c r="M61" s="7" t="str">
        <x:v>Frozen baseline; see batch evidence log.</x:v>
      </x:c>
      <x:c r="N61" s="7" t="str">
        <x:v>Low</x:v>
      </x:c>
      <x:c r="O61" s="7" t="str">
        <x:v>Low</x:v>
      </x:c>
      <x:c r="P61" s="7" t="str">
        <x:v>Low</x:v>
      </x:c>
      <x:c r="Q61" s="7" t="str">
        <x:v>Frozen baseline</x:v>
      </x:c>
      <x:c r="R61" s="7" t="str">
        <x:v>VALIDATE FIT</x:v>
      </x:c>
      <x:c r="S61" s="7" t="str">
        <x:v>NOT APPROVED</x:v>
      </x:c>
    </x:row>
    <x:row r="62" ht="30" customHeight="1">
      <x:c r="A62" s="7" t="str">
        <x:v>Tanzania</x:v>
      </x:c>
      <x:c r="B62" s="7" t="str">
        <x:v>CG200 air-cooled</x:v>
      </x:c>
      <x:c r="C62" s="7" t="n">
        <x:v>9</x:v>
      </x:c>
      <x:c r="D62" s="7" t="n">
        <x:v>0</x:v>
      </x:c>
      <x:c r="E62" s="7" t="n">
        <x:v>6</x:v>
      </x:c>
      <x:c r="F62" s="7" t="n">
        <x:v>5</x:v>
      </x:c>
      <x:c r="G62" s="7" t="n">
        <x:v>0</x:v>
      </x:c>
      <x:c r="H62" s="7" t="n">
        <x:v>0</x:v>
      </x:c>
      <x:c r="I62" s="7" t="n">
        <x:f>SUM(C62:H62)</x:f>
        <x:v>20</x:v>
      </x:c>
      <x:c r="J62" s="7" t="str">
        <x:f>IF(I62&gt;=75,"S",IF(I62&gt;=60,"A",IF(I62&gt;=45,"B",IF(I62&gt;=30,"C","D"))))</x:f>
        <x:v>D</x:v>
      </x:c>
      <x:c r="K62" s="7" t="str">
        <x:v>Engine</x:v>
      </x:c>
      <x:c r="L62" s="7" t="str">
        <x:v>P4-TZ-01,P4-TZ-02</x:v>
      </x:c>
      <x:c r="M62" s="7" t="str">
        <x:v>Frozen baseline; see batch evidence log.</x:v>
      </x:c>
      <x:c r="N62" s="7" t="str">
        <x:v>Low</x:v>
      </x:c>
      <x:c r="O62" s="7" t="str">
        <x:v>Low</x:v>
      </x:c>
      <x:c r="P62" s="7" t="str">
        <x:v>Low</x:v>
      </x:c>
      <x:c r="Q62" s="7" t="str">
        <x:v>Frozen baseline</x:v>
      </x:c>
      <x:c r="R62" s="7" t="str">
        <x:v>VALIDATE FIT</x:v>
      </x:c>
      <x:c r="S62" s="7" t="str">
        <x:v>NOT APPROVED</x:v>
      </x:c>
    </x:row>
    <x:row r="63" ht="30" customHeight="1">
      <x:c r="A63" s="7" t="str">
        <x:v>Tanzania</x:v>
      </x:c>
      <x:c r="B63" s="7" t="str">
        <x:v>CG250 air-cooled</x:v>
      </x:c>
      <x:c r="C63" s="7" t="n">
        <x:v>0</x:v>
      </x:c>
      <x:c r="D63" s="7" t="n">
        <x:v>0</x:v>
      </x:c>
      <x:c r="E63" s="7" t="n">
        <x:v>0</x:v>
      </x:c>
      <x:c r="F63" s="7" t="n">
        <x:v>0</x:v>
      </x:c>
      <x:c r="G63" s="7" t="n">
        <x:v>0</x:v>
      </x:c>
      <x:c r="H63" s="7" t="n">
        <x:v>0</x:v>
      </x:c>
      <x:c r="I63" s="7" t="n">
        <x:f>SUM(C63:H63)</x:f>
        <x:v>0</x:v>
      </x:c>
      <x:c r="J63" s="7" t="str">
        <x:f>IF(I63&gt;=75,"S",IF(I63&gt;=60,"A",IF(I63&gt;=45,"B",IF(I63&gt;=30,"C","D"))))</x:f>
        <x:v>D</x:v>
      </x:c>
      <x:c r="K63" s="7" t="str">
        <x:v>Engine</x:v>
      </x:c>
      <x:c r="L63" s="7" t="str">
        <x:v>No product-specific evidence</x:v>
      </x:c>
      <x:c r="M63" s="7" t="str">
        <x:v>Frozen baseline; see batch evidence log.</x:v>
      </x:c>
      <x:c r="N63" s="7" t="str">
        <x:v>Low</x:v>
      </x:c>
      <x:c r="O63" s="7" t="str">
        <x:v>Low</x:v>
      </x:c>
      <x:c r="P63" s="7" t="str">
        <x:v>Low</x:v>
      </x:c>
      <x:c r="Q63" s="7" t="str">
        <x:v>Frozen baseline</x:v>
      </x:c>
      <x:c r="R63" s="7" t="str">
        <x:v>VALIDATE FIT</x:v>
      </x:c>
      <x:c r="S63" s="7" t="str">
        <x:v>NOT APPROVED</x:v>
      </x:c>
    </x:row>
    <x:row r="64" ht="30" customHeight="1">
      <x:c r="A64" s="7" t="str">
        <x:v>Tanzania</x:v>
      </x:c>
      <x:c r="B64" s="7" t="str">
        <x:v>CG150-250 water-cooled cargo</x:v>
      </x:c>
      <x:c r="C64" s="7" t="n">
        <x:v>10</x:v>
      </x:c>
      <x:c r="D64" s="7" t="n">
        <x:v>0</x:v>
      </x:c>
      <x:c r="E64" s="7" t="n">
        <x:v>5</x:v>
      </x:c>
      <x:c r="F64" s="7" t="n">
        <x:v>5</x:v>
      </x:c>
      <x:c r="G64" s="7" t="n">
        <x:v>0</x:v>
      </x:c>
      <x:c r="H64" s="7" t="n">
        <x:v>0</x:v>
      </x:c>
      <x:c r="I64" s="7" t="n">
        <x:f>SUM(C64:H64)</x:f>
        <x:v>20</x:v>
      </x:c>
      <x:c r="J64" s="7" t="str">
        <x:f>IF(I64&gt;=75,"S",IF(I64&gt;=60,"A",IF(I64&gt;=45,"B",IF(I64&gt;=30,"C","D"))))</x:f>
        <x:v>D</x:v>
      </x:c>
      <x:c r="K64" s="7" t="str">
        <x:v>Engine</x:v>
      </x:c>
      <x:c r="L64" s="7" t="str">
        <x:v>P4-TZ-04</x:v>
      </x:c>
      <x:c r="M64" s="7" t="str">
        <x:v>Frozen baseline; see batch evidence log.</x:v>
      </x:c>
      <x:c r="N64" s="7" t="str">
        <x:v>Low</x:v>
      </x:c>
      <x:c r="O64" s="7" t="str">
        <x:v>Low</x:v>
      </x:c>
      <x:c r="P64" s="7" t="str">
        <x:v>Low</x:v>
      </x:c>
      <x:c r="Q64" s="7" t="str">
        <x:v>Frozen baseline</x:v>
      </x:c>
      <x:c r="R64" s="7" t="str">
        <x:v>VALIDATE FIT</x:v>
      </x:c>
      <x:c r="S64" s="7" t="str">
        <x:v>NOT APPROVED</x:v>
      </x:c>
    </x:row>
    <x:row r="65" ht="30" customHeight="1">
      <x:c r="A65" s="7" t="str">
        <x:v>Tanzania</x:v>
      </x:c>
      <x:c r="B65" s="7" t="str">
        <x:v>Tsunami water-cooled / dual-cooled</x:v>
      </x:c>
      <x:c r="C65" s="7" t="n">
        <x:v>0</x:v>
      </x:c>
      <x:c r="D65" s="7" t="n">
        <x:v>0</x:v>
      </x:c>
      <x:c r="E65" s="7" t="n">
        <x:v>0</x:v>
      </x:c>
      <x:c r="F65" s="7" t="n">
        <x:v>0</x:v>
      </x:c>
      <x:c r="G65" s="7" t="n">
        <x:v>0</x:v>
      </x:c>
      <x:c r="H65" s="7" t="n">
        <x:v>0</x:v>
      </x:c>
      <x:c r="I65" s="7" t="n">
        <x:f>SUM(C65:H65)</x:f>
        <x:v>0</x:v>
      </x:c>
      <x:c r="J65" s="7" t="str">
        <x:f>IF(I65&gt;=75,"S",IF(I65&gt;=60,"A",IF(I65&gt;=45,"B",IF(I65&gt;=30,"C","D"))))</x:f>
        <x:v>D</x:v>
      </x:c>
      <x:c r="K65" s="7" t="str">
        <x:v>Engine</x:v>
      </x:c>
      <x:c r="L65" s="7" t="str">
        <x:v>No product-specific evidence</x:v>
      </x:c>
      <x:c r="M65" s="7" t="str">
        <x:v>Frozen baseline; see batch evidence log.</x:v>
      </x:c>
      <x:c r="N65" s="7" t="str">
        <x:v>Low</x:v>
      </x:c>
      <x:c r="O65" s="7" t="str">
        <x:v>Low</x:v>
      </x:c>
      <x:c r="P65" s="7" t="str">
        <x:v>Low</x:v>
      </x:c>
      <x:c r="Q65" s="7" t="str">
        <x:v>Frozen baseline</x:v>
      </x:c>
      <x:c r="R65" s="7" t="str">
        <x:v>VALIDATE FIT</x:v>
      </x:c>
      <x:c r="S65" s="7" t="str">
        <x:v>NOT APPROVED</x:v>
      </x:c>
    </x:row>
    <x:row r="66" ht="30" customHeight="1">
      <x:c r="A66" s="7" t="str">
        <x:v>Tanzania</x:v>
      </x:c>
      <x:c r="B66" s="7" t="str">
        <x:v>Hanwei 200</x:v>
      </x:c>
      <x:c r="C66" s="7" t="n">
        <x:v>0</x:v>
      </x:c>
      <x:c r="D66" s="7" t="n">
        <x:v>0</x:v>
      </x:c>
      <x:c r="E66" s="7" t="n">
        <x:v>0</x:v>
      </x:c>
      <x:c r="F66" s="7" t="n">
        <x:v>0</x:v>
      </x:c>
      <x:c r="G66" s="7" t="n">
        <x:v>0</x:v>
      </x:c>
      <x:c r="H66" s="7" t="n">
        <x:v>0</x:v>
      </x:c>
      <x:c r="I66" s="7" t="n">
        <x:f>SUM(C66:H66)</x:f>
        <x:v>0</x:v>
      </x:c>
      <x:c r="J66" s="7" t="str">
        <x:f>IF(I66&gt;=75,"S",IF(I66&gt;=60,"A",IF(I66&gt;=45,"B",IF(I66&gt;=30,"C","D"))))</x:f>
        <x:v>D</x:v>
      </x:c>
      <x:c r="K66" s="7" t="str">
        <x:v>Engine</x:v>
      </x:c>
      <x:c r="L66" s="7" t="str">
        <x:v>No product-specific evidence</x:v>
      </x:c>
      <x:c r="M66" s="7" t="str">
        <x:v>Frozen baseline; see batch evidence log.</x:v>
      </x:c>
      <x:c r="N66" s="7" t="str">
        <x:v>Low</x:v>
      </x:c>
      <x:c r="O66" s="7" t="str">
        <x:v>Low</x:v>
      </x:c>
      <x:c r="P66" s="7" t="str">
        <x:v>Low</x:v>
      </x:c>
      <x:c r="Q66" s="7" t="str">
        <x:v>Frozen baseline</x:v>
      </x:c>
      <x:c r="R66" s="7" t="str">
        <x:v>VALIDATE FIT</x:v>
      </x:c>
      <x:c r="S66" s="7" t="str">
        <x:v>NOT APPROVED</x:v>
      </x:c>
    </x:row>
    <x:row r="67" ht="30" customHeight="1">
      <x:c r="A67" s="7" t="str">
        <x:v>Tanzania</x:v>
      </x:c>
      <x:c r="B67" s="7" t="str">
        <x:v>Hanwei 250</x:v>
      </x:c>
      <x:c r="C67" s="7" t="n">
        <x:v>0</x:v>
      </x:c>
      <x:c r="D67" s="7" t="n">
        <x:v>0</x:v>
      </x:c>
      <x:c r="E67" s="7" t="n">
        <x:v>0</x:v>
      </x:c>
      <x:c r="F67" s="7" t="n">
        <x:v>0</x:v>
      </x:c>
      <x:c r="G67" s="7" t="n">
        <x:v>0</x:v>
      </x:c>
      <x:c r="H67" s="7" t="n">
        <x:v>0</x:v>
      </x:c>
      <x:c r="I67" s="7" t="n">
        <x:f>SUM(C67:H67)</x:f>
        <x:v>0</x:v>
      </x:c>
      <x:c r="J67" s="7" t="str">
        <x:f>IF(I67&gt;=75,"S",IF(I67&gt;=60,"A",IF(I67&gt;=45,"B",IF(I67&gt;=30,"C","D"))))</x:f>
        <x:v>D</x:v>
      </x:c>
      <x:c r="K67" s="7" t="str">
        <x:v>Engine</x:v>
      </x:c>
      <x:c r="L67" s="7" t="str">
        <x:v>No product-specific evidence</x:v>
      </x:c>
      <x:c r="M67" s="7" t="str">
        <x:v>Frozen baseline; see batch evidence log.</x:v>
      </x:c>
      <x:c r="N67" s="7" t="str">
        <x:v>Low</x:v>
      </x:c>
      <x:c r="O67" s="7" t="str">
        <x:v>Low</x:v>
      </x:c>
      <x:c r="P67" s="7" t="str">
        <x:v>Low</x:v>
      </x:c>
      <x:c r="Q67" s="7" t="str">
        <x:v>Frozen baseline</x:v>
      </x:c>
      <x:c r="R67" s="7" t="str">
        <x:v>VALIDATE FIT</x:v>
      </x:c>
      <x:c r="S67" s="7" t="str">
        <x:v>NOT APPROVED</x:v>
      </x:c>
    </x:row>
    <x:row r="68" ht="30" customHeight="1">
      <x:c r="A68" s="7" t="str">
        <x:v>Tanzania</x:v>
      </x:c>
      <x:c r="B68" s="7" t="str">
        <x:v>Hanwei 300</x:v>
      </x:c>
      <x:c r="C68" s="7" t="n">
        <x:v>0</x:v>
      </x:c>
      <x:c r="D68" s="7" t="n">
        <x:v>0</x:v>
      </x:c>
      <x:c r="E68" s="7" t="n">
        <x:v>0</x:v>
      </x:c>
      <x:c r="F68" s="7" t="n">
        <x:v>0</x:v>
      </x:c>
      <x:c r="G68" s="7" t="n">
        <x:v>0</x:v>
      </x:c>
      <x:c r="H68" s="7" t="n">
        <x:v>0</x:v>
      </x:c>
      <x:c r="I68" s="7" t="n">
        <x:f>SUM(C68:H68)</x:f>
        <x:v>0</x:v>
      </x:c>
      <x:c r="J68" s="7" t="str">
        <x:f>IF(I68&gt;=75,"S",IF(I68&gt;=60,"A",IF(I68&gt;=45,"B",IF(I68&gt;=30,"C","D"))))</x:f>
        <x:v>D</x:v>
      </x:c>
      <x:c r="K68" s="7" t="str">
        <x:v>Engine</x:v>
      </x:c>
      <x:c r="L68" s="7" t="str">
        <x:v>No product-specific evidence</x:v>
      </x:c>
      <x:c r="M68" s="7" t="str">
        <x:v>Frozen baseline; see batch evidence log.</x:v>
      </x:c>
      <x:c r="N68" s="7" t="str">
        <x:v>Low</x:v>
      </x:c>
      <x:c r="O68" s="7" t="str">
        <x:v>Low</x:v>
      </x:c>
      <x:c r="P68" s="7" t="str">
        <x:v>Low</x:v>
      </x:c>
      <x:c r="Q68" s="7" t="str">
        <x:v>Frozen baseline</x:v>
      </x:c>
      <x:c r="R68" s="7" t="str">
        <x:v>VALIDATE FIT</x:v>
      </x:c>
      <x:c r="S68" s="7" t="str">
        <x:v>NOT APPROVED</x:v>
      </x:c>
    </x:row>
    <x:row r="69" ht="30" customHeight="1">
      <x:c r="A69" s="7" t="str">
        <x:v>Tanzania</x:v>
      </x:c>
      <x:c r="B69" s="7" t="str">
        <x:v>Honda-style 110 horizontal</x:v>
      </x:c>
      <x:c r="C69" s="7" t="n">
        <x:v>0</x:v>
      </x:c>
      <x:c r="D69" s="7" t="n">
        <x:v>0</x:v>
      </x:c>
      <x:c r="E69" s="7" t="n">
        <x:v>0</x:v>
      </x:c>
      <x:c r="F69" s="7" t="n">
        <x:v>0</x:v>
      </x:c>
      <x:c r="G69" s="7" t="n">
        <x:v>0</x:v>
      </x:c>
      <x:c r="H69" s="7" t="n">
        <x:v>0</x:v>
      </x:c>
      <x:c r="I69" s="7" t="n">
        <x:f>SUM(C69:H69)</x:f>
        <x:v>0</x:v>
      </x:c>
      <x:c r="J69" s="7" t="str">
        <x:f>IF(I69&gt;=75,"S",IF(I69&gt;=60,"A",IF(I69&gt;=45,"B",IF(I69&gt;=30,"C","D"))))</x:f>
        <x:v>D</x:v>
      </x:c>
      <x:c r="K69" s="7" t="str">
        <x:v>Engine</x:v>
      </x:c>
      <x:c r="L69" s="7" t="str">
        <x:v>No product-specific evidence</x:v>
      </x:c>
      <x:c r="M69" s="7" t="str">
        <x:v>Frozen baseline; see batch evidence log.</x:v>
      </x:c>
      <x:c r="N69" s="7" t="str">
        <x:v>Low</x:v>
      </x:c>
      <x:c r="O69" s="7" t="str">
        <x:v>Low</x:v>
      </x:c>
      <x:c r="P69" s="7" t="str">
        <x:v>Low</x:v>
      </x:c>
      <x:c r="Q69" s="7" t="str">
        <x:v>Frozen baseline</x:v>
      </x:c>
      <x:c r="R69" s="7" t="str">
        <x:v>VALIDATE FIT</x:v>
      </x:c>
      <x:c r="S69" s="7" t="str">
        <x:v>NOT APPROVED</x:v>
      </x:c>
    </x:row>
    <x:row r="70" ht="30" customHeight="1">
      <x:c r="A70" s="7" t="str">
        <x:v>Tanzania</x:v>
      </x:c>
      <x:c r="B70" s="7" t="str">
        <x:v>Honda-style 125 horizontal</x:v>
      </x:c>
      <x:c r="C70" s="7" t="n">
        <x:v>0</x:v>
      </x:c>
      <x:c r="D70" s="7" t="n">
        <x:v>0</x:v>
      </x:c>
      <x:c r="E70" s="7" t="n">
        <x:v>0</x:v>
      </x:c>
      <x:c r="F70" s="7" t="n">
        <x:v>0</x:v>
      </x:c>
      <x:c r="G70" s="7" t="n">
        <x:v>0</x:v>
      </x:c>
      <x:c r="H70" s="7" t="n">
        <x:v>0</x:v>
      </x:c>
      <x:c r="I70" s="7" t="n">
        <x:f>SUM(C70:H70)</x:f>
        <x:v>0</x:v>
      </x:c>
      <x:c r="J70" s="7" t="str">
        <x:f>IF(I70&gt;=75,"S",IF(I70&gt;=60,"A",IF(I70&gt;=45,"B",IF(I70&gt;=30,"C","D"))))</x:f>
        <x:v>D</x:v>
      </x:c>
      <x:c r="K70" s="7" t="str">
        <x:v>Engine</x:v>
      </x:c>
      <x:c r="L70" s="7" t="str">
        <x:v>No product-specific evidence</x:v>
      </x:c>
      <x:c r="M70" s="7" t="str">
        <x:v>Frozen baseline; see batch evidence log.</x:v>
      </x:c>
      <x:c r="N70" s="7" t="str">
        <x:v>Low</x:v>
      </x:c>
      <x:c r="O70" s="7" t="str">
        <x:v>Low</x:v>
      </x:c>
      <x:c r="P70" s="7" t="str">
        <x:v>Low</x:v>
      </x:c>
      <x:c r="Q70" s="7" t="str">
        <x:v>Frozen baseline</x:v>
      </x:c>
      <x:c r="R70" s="7" t="str">
        <x:v>VALIDATE FIT</x:v>
      </x:c>
      <x:c r="S70" s="7" t="str">
        <x:v>NOT APPROVED</x:v>
      </x:c>
    </x:row>
    <x:row r="71" ht="30" customHeight="1">
      <x:c r="A71" s="7" t="str">
        <x:v>Tanzania</x:v>
      </x:c>
      <x:c r="B71" s="7" t="str">
        <x:v>Honda-style 130/140 horizontal</x:v>
      </x:c>
      <x:c r="C71" s="7" t="n">
        <x:v>0</x:v>
      </x:c>
      <x:c r="D71" s="7" t="n">
        <x:v>0</x:v>
      </x:c>
      <x:c r="E71" s="7" t="n">
        <x:v>0</x:v>
      </x:c>
      <x:c r="F71" s="7" t="n">
        <x:v>0</x:v>
      </x:c>
      <x:c r="G71" s="7" t="n">
        <x:v>0</x:v>
      </x:c>
      <x:c r="H71" s="7" t="n">
        <x:v>0</x:v>
      </x:c>
      <x:c r="I71" s="7" t="n">
        <x:f>SUM(C71:H71)</x:f>
        <x:v>0</x:v>
      </x:c>
      <x:c r="J71" s="7" t="str">
        <x:f>IF(I71&gt;=75,"S",IF(I71&gt;=60,"A",IF(I71&gt;=45,"B",IF(I71&gt;=30,"C","D"))))</x:f>
        <x:v>D</x:v>
      </x:c>
      <x:c r="K71" s="7" t="str">
        <x:v>Engine</x:v>
      </x:c>
      <x:c r="L71" s="7" t="str">
        <x:v>No product-specific evidence</x:v>
      </x:c>
      <x:c r="M71" s="7" t="str">
        <x:v>Frozen baseline; see batch evidence log.</x:v>
      </x:c>
      <x:c r="N71" s="7" t="str">
        <x:v>Low</x:v>
      </x:c>
      <x:c r="O71" s="7" t="str">
        <x:v>Low</x:v>
      </x:c>
      <x:c r="P71" s="7" t="str">
        <x:v>Low</x:v>
      </x:c>
      <x:c r="Q71" s="7" t="str">
        <x:v>Frozen baseline</x:v>
      </x:c>
      <x:c r="R71" s="7" t="str">
        <x:v>VALIDATE FIT</x:v>
      </x:c>
      <x:c r="S71" s="7" t="str">
        <x:v>NOT APPROVED</x:v>
      </x:c>
    </x:row>
    <x:row r="72" ht="30" customHeight="1">
      <x:c r="A72" s="7" t="str">
        <x:v>Tanzania</x:v>
      </x:c>
      <x:c r="B72" s="7" t="str">
        <x:v>Automatic-clutch CG</x:v>
      </x:c>
      <x:c r="C72" s="7" t="n">
        <x:v>0</x:v>
      </x:c>
      <x:c r="D72" s="7" t="n">
        <x:v>0</x:v>
      </x:c>
      <x:c r="E72" s="7" t="n">
        <x:v>0</x:v>
      </x:c>
      <x:c r="F72" s="7" t="n">
        <x:v>0</x:v>
      </x:c>
      <x:c r="G72" s="7" t="n">
        <x:v>0</x:v>
      </x:c>
      <x:c r="H72" s="7" t="n">
        <x:v>0</x:v>
      </x:c>
      <x:c r="I72" s="7" t="n">
        <x:f>SUM(C72:H72)</x:f>
        <x:v>0</x:v>
      </x:c>
      <x:c r="J72" s="7" t="str">
        <x:f>IF(I72&gt;=75,"S",IF(I72&gt;=60,"A",IF(I72&gt;=45,"B",IF(I72&gt;=30,"C","D"))))</x:f>
        <x:v>D</x:v>
      </x:c>
      <x:c r="K72" s="7" t="str">
        <x:v>Engine</x:v>
      </x:c>
      <x:c r="L72" s="7" t="str">
        <x:v>No product-specific evidence</x:v>
      </x:c>
      <x:c r="M72" s="7" t="str">
        <x:v>Frozen baseline; see batch evidence log.</x:v>
      </x:c>
      <x:c r="N72" s="7" t="str">
        <x:v>Low</x:v>
      </x:c>
      <x:c r="O72" s="7" t="str">
        <x:v>Low</x:v>
      </x:c>
      <x:c r="P72" s="7" t="str">
        <x:v>Low</x:v>
      </x:c>
      <x:c r="Q72" s="7" t="str">
        <x:v>Frozen baseline</x:v>
      </x:c>
      <x:c r="R72" s="7" t="str">
        <x:v>VALIDATE FIT</x:v>
      </x:c>
      <x:c r="S72" s="7" t="str">
        <x:v>NOT APPROVED</x:v>
      </x:c>
    </x:row>
    <x:row r="73" ht="30" customHeight="1">
      <x:c r="A73" s="7" t="str">
        <x:v>Tanzania</x:v>
      </x:c>
      <x:c r="B73" s="7" t="str">
        <x:v>CB150/200/250 off-road</x:v>
      </x:c>
      <x:c r="C73" s="7" t="n">
        <x:v>0</x:v>
      </x:c>
      <x:c r="D73" s="7" t="n">
        <x:v>0</x:v>
      </x:c>
      <x:c r="E73" s="7" t="n">
        <x:v>0</x:v>
      </x:c>
      <x:c r="F73" s="7" t="n">
        <x:v>0</x:v>
      </x:c>
      <x:c r="G73" s="7" t="n">
        <x:v>0</x:v>
      </x:c>
      <x:c r="H73" s="7" t="n">
        <x:v>0</x:v>
      </x:c>
      <x:c r="I73" s="7" t="n">
        <x:f>SUM(C73:H73)</x:f>
        <x:v>0</x:v>
      </x:c>
      <x:c r="J73" s="7" t="str">
        <x:f>IF(I73&gt;=75,"S",IF(I73&gt;=60,"A",IF(I73&gt;=45,"B",IF(I73&gt;=30,"C","D"))))</x:f>
        <x:v>D</x:v>
      </x:c>
      <x:c r="K73" s="7" t="str">
        <x:v>Engine</x:v>
      </x:c>
      <x:c r="L73" s="7" t="str">
        <x:v>No product-specific evidence</x:v>
      </x:c>
      <x:c r="M73" s="7" t="str">
        <x:v>Frozen baseline; see batch evidence log.</x:v>
      </x:c>
      <x:c r="N73" s="7" t="str">
        <x:v>Low</x:v>
      </x:c>
      <x:c r="O73" s="7" t="str">
        <x:v>Low</x:v>
      </x:c>
      <x:c r="P73" s="7" t="str">
        <x:v>Low</x:v>
      </x:c>
      <x:c r="Q73" s="7" t="str">
        <x:v>Frozen baseline</x:v>
      </x:c>
      <x:c r="R73" s="7" t="str">
        <x:v>VALIDATE FIT</x:v>
      </x:c>
      <x:c r="S73" s="7" t="str">
        <x:v>NOT APPROVED</x:v>
      </x:c>
    </x:row>
    <x:row r="74" ht="30" customHeight="1">
      <x:c r="A74" s="7" t="str">
        <x:v>Tanzania</x:v>
      </x:c>
      <x:c r="B74" s="7" t="str">
        <x:v>EFI water-cooled</x:v>
      </x:c>
      <x:c r="C74" s="7" t="n">
        <x:v>0</x:v>
      </x:c>
      <x:c r="D74" s="7" t="n">
        <x:v>0</x:v>
      </x:c>
      <x:c r="E74" s="7" t="n">
        <x:v>0</x:v>
      </x:c>
      <x:c r="F74" s="7" t="n">
        <x:v>0</x:v>
      </x:c>
      <x:c r="G74" s="7" t="n">
        <x:v>0</x:v>
      </x:c>
      <x:c r="H74" s="7" t="n">
        <x:v>0</x:v>
      </x:c>
      <x:c r="I74" s="7" t="n">
        <x:f>SUM(C74:H74)</x:f>
        <x:v>0</x:v>
      </x:c>
      <x:c r="J74" s="7" t="str">
        <x:f>IF(I74&gt;=75,"S",IF(I74&gt;=60,"A",IF(I74&gt;=45,"B",IF(I74&gt;=30,"C","D"))))</x:f>
        <x:v>D</x:v>
      </x:c>
      <x:c r="K74" s="7" t="str">
        <x:v>Engine</x:v>
      </x:c>
      <x:c r="L74" s="7" t="str">
        <x:v>No product-specific evidence</x:v>
      </x:c>
      <x:c r="M74" s="7" t="str">
        <x:v>Frozen baseline; see batch evidence log.</x:v>
      </x:c>
      <x:c r="N74" s="7" t="str">
        <x:v>Low</x:v>
      </x:c>
      <x:c r="O74" s="7" t="str">
        <x:v>Low</x:v>
      </x:c>
      <x:c r="P74" s="7" t="str">
        <x:v>Low</x:v>
      </x:c>
      <x:c r="Q74" s="7" t="str">
        <x:v>Frozen baseline</x:v>
      </x:c>
      <x:c r="R74" s="7" t="str">
        <x:v>VALIDATE FIT</x:v>
      </x:c>
      <x:c r="S74" s="7" t="str">
        <x:v>NOT APPROVED</x:v>
      </x:c>
    </x:row>
    <x:row r="75" ht="30" customHeight="1">
      <x:c r="A75" s="7" t="str">
        <x:v>Tanzania</x:v>
      </x:c>
      <x:c r="B75" s="7" t="str">
        <x:v>Engine parts / spares pack</x:v>
      </x:c>
      <x:c r="C75" s="7" t="n">
        <x:v>17</x:v>
      </x:c>
      <x:c r="D75" s="7" t="n">
        <x:v>0</x:v>
      </x:c>
      <x:c r="E75" s="7" t="n">
        <x:v>12</x:v>
      </x:c>
      <x:c r="F75" s="7" t="n">
        <x:v>8</x:v>
      </x:c>
      <x:c r="G75" s="7" t="n">
        <x:v>0</x:v>
      </x:c>
      <x:c r="H75" s="7" t="n">
        <x:v>0</x:v>
      </x:c>
      <x:c r="I75" s="7" t="n">
        <x:f>SUM(C75:H75)</x:f>
        <x:v>37</x:v>
      </x:c>
      <x:c r="J75" s="7" t="str">
        <x:f>IF(I75&gt;=75,"S",IF(I75&gt;=60,"A",IF(I75&gt;=45,"B",IF(I75&gt;=30,"C","D"))))</x:f>
        <x:v>C</x:v>
      </x:c>
      <x:c r="K75" s="7" t="str">
        <x:v>Aftermarket / parts</x:v>
      </x:c>
      <x:c r="L75" s="7" t="str">
        <x:v>P4-TZ-01,P4-TZ-02,P4-TZ-05</x:v>
      </x:c>
      <x:c r="M75" s="7" t="str">
        <x:v>Frozen baseline; see batch evidence log.</x:v>
      </x:c>
      <x:c r="N75" s="7" t="str">
        <x:v>High</x:v>
      </x:c>
      <x:c r="O75" s="7" t="str">
        <x:v>Not applicable</x:v>
      </x:c>
      <x:c r="P75" s="7" t="str">
        <x:v>Not applicable</x:v>
      </x:c>
      <x:c r="Q75" s="7" t="str">
        <x:v>Frozen baseline</x:v>
      </x:c>
      <x:c r="R75" s="7" t="str">
        <x:v>VALIDATE FIT</x:v>
      </x:c>
      <x:c r="S75" s="7" t="str">
        <x:v>NOT APPROVED</x:v>
      </x:c>
    </x:row>
    <x:row r="76" ht="30" customHeight="1">
      <x:c r="A76" s="7" t="str">
        <x:v>Russia</x:v>
      </x:c>
      <x:c r="B76" s="7" t="str">
        <x:v>Lower-mounted horizontal 140</x:v>
      </x:c>
      <x:c r="C76" s="7" t="n">
        <x:v>18</x:v>
      </x:c>
      <x:c r="D76" s="7" t="n">
        <x:v>6</x:v>
      </x:c>
      <x:c r="E76" s="7" t="n">
        <x:v>11</x:v>
      </x:c>
      <x:c r="F76" s="7" t="n">
        <x:v>10</x:v>
      </x:c>
      <x:c r="G76" s="7" t="n">
        <x:v>0</x:v>
      </x:c>
      <x:c r="H76" s="7" t="n">
        <x:v>0</x:v>
      </x:c>
      <x:c r="I76" s="7" t="n">
        <x:f>SUM(C76:H76)</x:f>
        <x:v>45</x:v>
      </x:c>
      <x:c r="J76" s="7" t="str">
        <x:f>IF(I76&gt;=75,"S",IF(I76&gt;=60,"A",IF(I76&gt;=45,"B",IF(I76&gt;=30,"C","D"))))</x:f>
        <x:v>B</x:v>
      </x:c>
      <x:c r="K76" s="7" t="str">
        <x:v>Engine</x:v>
      </x:c>
      <x:c r="L76" s="7" t="str">
        <x:v>P4-RU-01,P4-RU-02,P4-RU-03</x:v>
      </x:c>
      <x:c r="M76" s="7" t="str">
        <x:v>Observed retailers list YX140/1P56FMJ complete engines for pit-bike use; no national demand inference.</x:v>
      </x:c>
      <x:c r="N76" s="7" t="str">
        <x:v>Medium</x:v>
      </x:c>
      <x:c r="O76" s="7" t="str">
        <x:v>Low</x:v>
      </x:c>
      <x:c r="P76" s="7" t="str">
        <x:v>Low</x:v>
      </x:c>
      <x:c r="Q76" s="7" t="str">
        <x:v>pit-bike / horizontal engine</x:v>
      </x:c>
      <x:c r="R76" s="7" t="str">
        <x:v>VALIDATE FIT</x:v>
      </x:c>
      <x:c r="S76" s="7" t="str">
        <x:v>NOT APPROVED</x:v>
      </x:c>
    </x:row>
    <x:row r="77" ht="30" customHeight="1">
      <x:c r="A77" s="7" t="str">
        <x:v>Russia</x:v>
      </x:c>
      <x:c r="B77" s="7" t="str">
        <x:v>Honda-style horizontal 140</x:v>
      </x:c>
      <x:c r="C77" s="7" t="n">
        <x:v>16</x:v>
      </x:c>
      <x:c r="D77" s="7" t="n">
        <x:v>5</x:v>
      </x:c>
      <x:c r="E77" s="7" t="n">
        <x:v>10</x:v>
      </x:c>
      <x:c r="F77" s="7" t="n">
        <x:v>9</x:v>
      </x:c>
      <x:c r="G77" s="7" t="n">
        <x:v>0</x:v>
      </x:c>
      <x:c r="H77" s="7" t="n">
        <x:v>0</x:v>
      </x:c>
      <x:c r="I77" s="7" t="n">
        <x:f>SUM(C77:H77)</x:f>
        <x:v>40</x:v>
      </x:c>
      <x:c r="J77" s="7" t="str">
        <x:f>IF(I77&gt;=75,"S",IF(I77&gt;=60,"A",IF(I77&gt;=45,"B",IF(I77&gt;=30,"C","D"))))</x:f>
        <x:v>C</x:v>
      </x:c>
      <x:c r="K77" s="7" t="str">
        <x:v>Engine</x:v>
      </x:c>
      <x:c r="L77" s="7" t="str">
        <x:v>P4-RU-01,P4-RU-02,P4-RU-03</x:v>
      </x:c>
      <x:c r="M77" s="7" t="str">
        <x:v>Russian retail terminology supports YX140/1P56FMJ direction only.</x:v>
      </x:c>
      <x:c r="N77" s="7" t="str">
        <x:v>Medium</x:v>
      </x:c>
      <x:c r="O77" s="7" t="str">
        <x:v>Low</x:v>
      </x:c>
      <x:c r="P77" s="7" t="str">
        <x:v>Low</x:v>
      </x:c>
      <x:c r="Q77" s="7" t="str">
        <x:v>pit-bike</x:v>
      </x:c>
      <x:c r="R77" s="7" t="str">
        <x:v>VALIDATE FIT</x:v>
      </x:c>
      <x:c r="S77" s="7" t="str">
        <x:v>NOT APPROVED</x:v>
      </x:c>
    </x:row>
    <x:row r="78" ht="30" customHeight="1">
      <x:c r="A78" s="7" t="str">
        <x:v>Russia</x:v>
      </x:c>
      <x:c r="B78" s="7" t="str">
        <x:v>Honda-style horizontal 125</x:v>
      </x:c>
      <x:c r="C78" s="7" t="n">
        <x:v>13</x:v>
      </x:c>
      <x:c r="D78" s="7" t="n">
        <x:v>5</x:v>
      </x:c>
      <x:c r="E78" s="7" t="n">
        <x:v>9</x:v>
      </x:c>
      <x:c r="F78" s="7" t="n">
        <x:v>8</x:v>
      </x:c>
      <x:c r="G78" s="7" t="n">
        <x:v>0</x:v>
      </x:c>
      <x:c r="H78" s="7" t="n">
        <x:v>0</x:v>
      </x:c>
      <x:c r="I78" s="7" t="n">
        <x:f>SUM(C78:H78)</x:f>
        <x:v>35</x:v>
      </x:c>
      <x:c r="J78" s="7" t="str">
        <x:f>IF(I78&gt;=75,"S",IF(I78&gt;=60,"A",IF(I78&gt;=45,"B",IF(I78&gt;=30,"C","D"))))</x:f>
        <x:v>C</x:v>
      </x:c>
      <x:c r="K78" s="7" t="str">
        <x:v>Engine</x:v>
      </x:c>
      <x:c r="L78" s="7" t="str">
        <x:v>P4-RU-04,P4-RU-05</x:v>
      </x:c>
      <x:c r="M78" s="7" t="str">
        <x:v>Alpha/Delta 125 complete-engine listings and code 152FMI observed.</x:v>
      </x:c>
      <x:c r="N78" s="7" t="str">
        <x:v>Medium</x:v>
      </x:c>
      <x:c r="O78" s="7" t="str">
        <x:v>Low</x:v>
      </x:c>
      <x:c r="P78" s="7" t="str">
        <x:v>Low</x:v>
      </x:c>
      <x:c r="Q78" s="7" t="str">
        <x:v>Alpha / Delta</x:v>
      </x:c>
      <x:c r="R78" s="7" t="str">
        <x:v>VALIDATE FIT</x:v>
      </x:c>
      <x:c r="S78" s="7" t="str">
        <x:v>NOT APPROVED</x:v>
      </x:c>
    </x:row>
    <x:row r="79" ht="30" customHeight="1">
      <x:c r="A79" s="7" t="str">
        <x:v>Russia</x:v>
      </x:c>
      <x:c r="B79" s="7" t="str">
        <x:v>Honda-style horizontal 110</x:v>
      </x:c>
      <x:c r="C79" s="7" t="n">
        <x:v>12</x:v>
      </x:c>
      <x:c r="D79" s="7" t="n">
        <x:v>4</x:v>
      </x:c>
      <x:c r="E79" s="7" t="n">
        <x:v>8</x:v>
      </x:c>
      <x:c r="F79" s="7" t="n">
        <x:v>7</x:v>
      </x:c>
      <x:c r="G79" s="7" t="n">
        <x:v>0</x:v>
      </x:c>
      <x:c r="H79" s="7" t="n">
        <x:v>0</x:v>
      </x:c>
      <x:c r="I79" s="7" t="n">
        <x:f>SUM(C79:H79)</x:f>
        <x:v>31</x:v>
      </x:c>
      <x:c r="J79" s="7" t="str">
        <x:f>IF(I79&gt;=75,"S",IF(I79&gt;=60,"A",IF(I79&gt;=45,"B",IF(I79&gt;=30,"C","D"))))</x:f>
        <x:v>C</x:v>
      </x:c>
      <x:c r="K79" s="7" t="str">
        <x:v>Engine</x:v>
      </x:c>
      <x:c r="L79" s="7" t="str">
        <x:v>P4-RU-05,P4-RU-06</x:v>
      </x:c>
      <x:c r="M79" s="7" t="str">
        <x:v>110/139FMB platform and parts evidence observed; replacement fit unverified.</x:v>
      </x:c>
      <x:c r="N79" s="7" t="str">
        <x:v>Medium</x:v>
      </x:c>
      <x:c r="O79" s="7" t="str">
        <x:v>Low</x:v>
      </x:c>
      <x:c r="P79" s="7" t="str">
        <x:v>Low</x:v>
      </x:c>
      <x:c r="Q79" s="7" t="str">
        <x:v>Alpha / Delta</x:v>
      </x:c>
      <x:c r="R79" s="7" t="str">
        <x:v>VALIDATE FIT</x:v>
      </x:c>
      <x:c r="S79" s="7" t="str">
        <x:v>NOT APPROVED</x:v>
      </x:c>
    </x:row>
    <x:row r="80" ht="30" customHeight="1">
      <x:c r="A80" s="7" t="str">
        <x:v>Russia</x:v>
      </x:c>
      <x:c r="B80" s="7" t="str">
        <x:v>Automatic-clutch horizontal</x:v>
      </x:c>
      <x:c r="C80" s="7" t="n">
        <x:v>4</x:v>
      </x:c>
      <x:c r="D80" s="7" t="n">
        <x:v>0</x:v>
      </x:c>
      <x:c r="E80" s="7" t="n">
        <x:v>3</x:v>
      </x:c>
      <x:c r="F80" s="7" t="n">
        <x:v>3</x:v>
      </x:c>
      <x:c r="G80" s="7" t="n">
        <x:v>0</x:v>
      </x:c>
      <x:c r="H80" s="7" t="n">
        <x:v>0</x:v>
      </x:c>
      <x:c r="I80" s="7" t="n">
        <x:f>SUM(C80:H80)</x:f>
        <x:v>10</x:v>
      </x:c>
      <x:c r="J80" s="7" t="str">
        <x:f>IF(I80&gt;=75,"S",IF(I80&gt;=60,"A",IF(I80&gt;=45,"B",IF(I80&gt;=30,"C","D"))))</x:f>
        <x:v>D</x:v>
      </x:c>
      <x:c r="K80" s="7" t="str">
        <x:v>Engine</x:v>
      </x:c>
      <x:c r="L80" s="7" t="str">
        <x:v>P4-RU-07</x:v>
      </x:c>
      <x:c r="M80" s="7" t="str">
        <x:v>A 125 semi-auto/reverse engine listing is not general demand or compatibility proof.</x:v>
      </x:c>
      <x:c r="N80" s="7" t="str">
        <x:v>Low</x:v>
      </x:c>
      <x:c r="O80" s="7" t="str">
        <x:v>Low</x:v>
      </x:c>
      <x:c r="P80" s="7" t="str">
        <x:v>Low</x:v>
      </x:c>
      <x:c r="Q80" s="7" t="str">
        <x:v>special configuration</x:v>
      </x:c>
      <x:c r="R80" s="7" t="str">
        <x:v>VALIDATE FIT</x:v>
      </x:c>
      <x:c r="S80" s="7" t="str">
        <x:v>NOT APPROVED</x:v>
      </x:c>
    </x:row>
    <x:row r="81" ht="30" customHeight="1">
      <x:c r="A81" s="7" t="str">
        <x:v>Russia</x:v>
      </x:c>
      <x:c r="B81" s="7" t="str">
        <x:v>CG125 air-cooled</x:v>
      </x:c>
      <x:c r="C81" s="7" t="n">
        <x:v>0</x:v>
      </x:c>
      <x:c r="D81" s="7" t="n">
        <x:v>0</x:v>
      </x:c>
      <x:c r="E81" s="7" t="n">
        <x:v>0</x:v>
      </x:c>
      <x:c r="F81" s="7" t="n">
        <x:v>0</x:v>
      </x:c>
      <x:c r="G81" s="7" t="n">
        <x:v>0</x:v>
      </x:c>
      <x:c r="H81" s="7" t="n">
        <x:v>0</x:v>
      </x:c>
      <x:c r="I81" s="7" t="n">
        <x:f>SUM(C81:H81)</x:f>
        <x:v>0</x:v>
      </x:c>
      <x:c r="J81" s="7" t="str">
        <x:f>IF(I81&gt;=75,"S",IF(I81&gt;=60,"A",IF(I81&gt;=45,"B",IF(I81&gt;=30,"C","D"))))</x:f>
        <x:v>D</x:v>
      </x:c>
      <x:c r="K81" s="7" t="str">
        <x:v>Engine</x:v>
      </x:c>
      <x:c r="L81" s="7" t="str">
        <x:v>No product-specific evidence</x:v>
      </x:c>
      <x:c r="M81" s="7" t="str">
        <x:v>No Russia-specific product evidence.</x:v>
      </x:c>
      <x:c r="N81" s="7" t="str">
        <x:v>Low</x:v>
      </x:c>
      <x:c r="O81" s="7" t="str">
        <x:v>Low</x:v>
      </x:c>
      <x:c r="P81" s="7" t="str">
        <x:v>Low</x:v>
      </x:c>
      <x:c r="Q81" s="7" t="str">
        <x:v>NOT TESTED</x:v>
      </x:c>
      <x:c r="R81" s="7" t="str">
        <x:v>VALIDATE FIT</x:v>
      </x:c>
      <x:c r="S81" s="7" t="str">
        <x:v>NOT APPROVED</x:v>
      </x:c>
    </x:row>
    <x:row r="82" ht="30" customHeight="1">
      <x:c r="A82" s="7" t="str">
        <x:v>Russia</x:v>
      </x:c>
      <x:c r="B82" s="7" t="str">
        <x:v>CG150 air-cooled</x:v>
      </x:c>
      <x:c r="C82" s="7" t="n">
        <x:v>0</x:v>
      </x:c>
      <x:c r="D82" s="7" t="n">
        <x:v>0</x:v>
      </x:c>
      <x:c r="E82" s="7" t="n">
        <x:v>0</x:v>
      </x:c>
      <x:c r="F82" s="7" t="n">
        <x:v>0</x:v>
      </x:c>
      <x:c r="G82" s="7" t="n">
        <x:v>0</x:v>
      </x:c>
      <x:c r="H82" s="7" t="n">
        <x:v>0</x:v>
      </x:c>
      <x:c r="I82" s="7" t="n">
        <x:f>SUM(C82:H82)</x:f>
        <x:v>0</x:v>
      </x:c>
      <x:c r="J82" s="7" t="str">
        <x:f>IF(I82&gt;=75,"S",IF(I82&gt;=60,"A",IF(I82&gt;=45,"B",IF(I82&gt;=30,"C","D"))))</x:f>
        <x:v>D</x:v>
      </x:c>
      <x:c r="K82" s="7" t="str">
        <x:v>Engine</x:v>
      </x:c>
      <x:c r="L82" s="7" t="str">
        <x:v>No product-specific evidence</x:v>
      </x:c>
      <x:c r="M82" s="7" t="str">
        <x:v>No Russia-specific product evidence.</x:v>
      </x:c>
      <x:c r="N82" s="7" t="str">
        <x:v>Low</x:v>
      </x:c>
      <x:c r="O82" s="7" t="str">
        <x:v>Low</x:v>
      </x:c>
      <x:c r="P82" s="7" t="str">
        <x:v>Low</x:v>
      </x:c>
      <x:c r="Q82" s="7" t="str">
        <x:v>NOT TESTED</x:v>
      </x:c>
      <x:c r="R82" s="7" t="str">
        <x:v>VALIDATE FIT</x:v>
      </x:c>
      <x:c r="S82" s="7" t="str">
        <x:v>NOT APPROVED</x:v>
      </x:c>
    </x:row>
    <x:row r="83" ht="30" customHeight="1">
      <x:c r="A83" s="7" t="str">
        <x:v>Russia</x:v>
      </x:c>
      <x:c r="B83" s="7" t="str">
        <x:v>CG200 air-cooled</x:v>
      </x:c>
      <x:c r="C83" s="7" t="n">
        <x:v>0</x:v>
      </x:c>
      <x:c r="D83" s="7" t="n">
        <x:v>0</x:v>
      </x:c>
      <x:c r="E83" s="7" t="n">
        <x:v>0</x:v>
      </x:c>
      <x:c r="F83" s="7" t="n">
        <x:v>0</x:v>
      </x:c>
      <x:c r="G83" s="7" t="n">
        <x:v>0</x:v>
      </x:c>
      <x:c r="H83" s="7" t="n">
        <x:v>0</x:v>
      </x:c>
      <x:c r="I83" s="7" t="n">
        <x:f>SUM(C83:H83)</x:f>
        <x:v>0</x:v>
      </x:c>
      <x:c r="J83" s="7" t="str">
        <x:f>IF(I83&gt;=75,"S",IF(I83&gt;=60,"A",IF(I83&gt;=45,"B",IF(I83&gt;=30,"C","D"))))</x:f>
        <x:v>D</x:v>
      </x:c>
      <x:c r="K83" s="7" t="str">
        <x:v>Engine</x:v>
      </x:c>
      <x:c r="L83" s="7" t="str">
        <x:v>No product-specific evidence</x:v>
      </x:c>
      <x:c r="M83" s="7" t="str">
        <x:v>No Russia-specific product evidence.</x:v>
      </x:c>
      <x:c r="N83" s="7" t="str">
        <x:v>Low</x:v>
      </x:c>
      <x:c r="O83" s="7" t="str">
        <x:v>Low</x:v>
      </x:c>
      <x:c r="P83" s="7" t="str">
        <x:v>Low</x:v>
      </x:c>
      <x:c r="Q83" s="7" t="str">
        <x:v>NOT TESTED</x:v>
      </x:c>
      <x:c r="R83" s="7" t="str">
        <x:v>VALIDATE FIT</x:v>
      </x:c>
      <x:c r="S83" s="7" t="str">
        <x:v>NOT APPROVED</x:v>
      </x:c>
    </x:row>
    <x:row r="84" ht="30" customHeight="1">
      <x:c r="A84" s="7" t="str">
        <x:v>Russia</x:v>
      </x:c>
      <x:c r="B84" s="7" t="str">
        <x:v>CB / pit-bike 140-150 direction</x:v>
      </x:c>
      <x:c r="C84" s="7" t="n">
        <x:v>15</x:v>
      </x:c>
      <x:c r="D84" s="7" t="n">
        <x:v>5</x:v>
      </x:c>
      <x:c r="E84" s="7" t="n">
        <x:v>10</x:v>
      </x:c>
      <x:c r="F84" s="7" t="n">
        <x:v>9</x:v>
      </x:c>
      <x:c r="G84" s="7" t="n">
        <x:v>0</x:v>
      </x:c>
      <x:c r="H84" s="7" t="n">
        <x:v>0</x:v>
      </x:c>
      <x:c r="I84" s="7" t="n">
        <x:f>SUM(C84:H84)</x:f>
        <x:v>39</x:v>
      </x:c>
      <x:c r="J84" s="7" t="str">
        <x:f>IF(I84&gt;=75,"S",IF(I84&gt;=60,"A",IF(I84&gt;=45,"B",IF(I84&gt;=30,"C","D"))))</x:f>
        <x:v>C</x:v>
      </x:c>
      <x:c r="K84" s="7" t="str">
        <x:v>Engine</x:v>
      </x:c>
      <x:c r="L84" s="7" t="str">
        <x:v>P4-RU-01,P4-RU-02,P4-RU-03,P4-RU-08</x:v>
      </x:c>
      <x:c r="M84" s="7" t="str">
        <x:v>Pit-bike model and engine-code ecosystem observed; fit still model-specific.</x:v>
      </x:c>
      <x:c r="N84" s="7" t="str">
        <x:v>Medium</x:v>
      </x:c>
      <x:c r="O84" s="7" t="str">
        <x:v>Low</x:v>
      </x:c>
      <x:c r="P84" s="7" t="str">
        <x:v>Low</x:v>
      </x:c>
      <x:c r="Q84" s="7" t="str">
        <x:v>pit-bike</x:v>
      </x:c>
      <x:c r="R84" s="7" t="str">
        <x:v>VALIDATE FIT</x:v>
      </x:c>
      <x:c r="S84" s="7" t="str">
        <x:v>NOT APPROVED</x:v>
      </x:c>
    </x:row>
    <x:row r="85" ht="30" customHeight="1">
      <x:c r="A85" s="7" t="str">
        <x:v>Russia</x:v>
      </x:c>
      <x:c r="B85" s="7" t="str">
        <x:v>Engine parts / spares pack</x:v>
      </x:c>
      <x:c r="C85" s="7" t="n">
        <x:v>17</x:v>
      </x:c>
      <x:c r="D85" s="7" t="n">
        <x:v>0</x:v>
      </x:c>
      <x:c r="E85" s="7" t="n">
        <x:v>12</x:v>
      </x:c>
      <x:c r="F85" s="7" t="n">
        <x:v>8</x:v>
      </x:c>
      <x:c r="G85" s="7" t="n">
        <x:v>0</x:v>
      </x:c>
      <x:c r="H85" s="7" t="n">
        <x:v>0</x:v>
      </x:c>
      <x:c r="I85" s="7" t="n">
        <x:f>SUM(C85:H85)</x:f>
        <x:v>37</x:v>
      </x:c>
      <x:c r="J85" s="7" t="str">
        <x:f>IF(I85&gt;=75,"S",IF(I85&gt;=60,"A",IF(I85&gt;=45,"B",IF(I85&gt;=30,"C","D"))))</x:f>
        <x:v>C</x:v>
      </x:c>
      <x:c r="K85" s="7" t="str">
        <x:v>Aftermarket / parts</x:v>
      </x:c>
      <x:c r="L85" s="7" t="str">
        <x:v>P4-RU-01,P4-RU-06,P4-RU-08</x:v>
      </x:c>
      <x:c r="M85" s="7" t="str">
        <x:v>Retail parts/catalogue evidence is separate aftermarket signal.</x:v>
      </x:c>
      <x:c r="N85" s="7" t="str">
        <x:v>High</x:v>
      </x:c>
      <x:c r="O85" s="7" t="str">
        <x:v>Not applicable</x:v>
      </x:c>
      <x:c r="P85" s="7" t="str">
        <x:v>Not applicable</x:v>
      </x:c>
      <x:c r="Q85" s="7" t="str">
        <x:v>parts / service</x:v>
      </x:c>
      <x:c r="R85" s="7" t="str">
        <x:v>VALIDATE FIT</x:v>
      </x:c>
      <x:c r="S85" s="7" t="str">
        <x:v>NOT APPROVED</x:v>
      </x:c>
    </x:row>
    <x:row r="86" ht="30" customHeight="1">
      <x:c r="A86" s="7" t="str">
        <x:v>Colombia</x:v>
      </x:c>
      <x:c r="B86" s="7" t="str">
        <x:v>CG125 air-cooled</x:v>
      </x:c>
      <x:c r="C86" s="7" t="n">
        <x:v>12</x:v>
      </x:c>
      <x:c r="D86" s="7" t="n">
        <x:v>1</x:v>
      </x:c>
      <x:c r="E86" s="7" t="n">
        <x:v>10</x:v>
      </x:c>
      <x:c r="F86" s="7" t="n">
        <x:v>6</x:v>
      </x:c>
      <x:c r="G86" s="7" t="n">
        <x:v>0</x:v>
      </x:c>
      <x:c r="H86" s="7" t="n">
        <x:v>0</x:v>
      </x:c>
      <x:c r="I86" s="7" t="n">
        <x:f>SUM(C86:H86)</x:f>
        <x:v>29</x:v>
      </x:c>
      <x:c r="J86" s="7" t="str">
        <x:f>IF(I86&gt;=75,"S",IF(I86&gt;=60,"A",IF(I86&gt;=45,"B",IF(I86&gt;=30,"C","D"))))</x:f>
        <x:v>D</x:v>
      </x:c>
      <x:c r="K86" s="7" t="str">
        <x:v>Engine</x:v>
      </x:c>
      <x:c r="L86" s="7" t="str">
        <x:v>P4-CO-09,P4-CO-10,P4-CO-13</x:v>
      </x:c>
      <x:c r="M86" s="7" t="str">
        <x:v>Parts and platform signals only; no independently verified complete-engine demand.</x:v>
      </x:c>
      <x:c r="N86" s="7" t="str">
        <x:v>Medium</x:v>
      </x:c>
      <x:c r="O86" s="7" t="str">
        <x:v>Low</x:v>
      </x:c>
      <x:c r="P86" s="7" t="str">
        <x:v>Low</x:v>
      </x:c>
      <x:c r="Q86" s="7" t="str">
        <x:v>AKT125/CG125 platform research</x:v>
      </x:c>
      <x:c r="R86" s="7" t="str">
        <x:v>VALIDATE DEMAND</x:v>
      </x:c>
      <x:c r="S86" s="7" t="str">
        <x:v>NOT APPROVED</x:v>
      </x:c>
    </x:row>
    <x:row r="87" ht="30" customHeight="1">
      <x:c r="A87" s="7" t="str">
        <x:v>Colombia</x:v>
      </x:c>
      <x:c r="B87" s="7" t="str">
        <x:v>CG150 air-cooled</x:v>
      </x:c>
      <x:c r="C87" s="7" t="n">
        <x:v>10</x:v>
      </x:c>
      <x:c r="D87" s="7" t="n">
        <x:v>1</x:v>
      </x:c>
      <x:c r="E87" s="7" t="n">
        <x:v>9</x:v>
      </x:c>
      <x:c r="F87" s="7" t="n">
        <x:v>6</x:v>
      </x:c>
      <x:c r="G87" s="7" t="n">
        <x:v>0</x:v>
      </x:c>
      <x:c r="H87" s="7" t="n">
        <x:v>0</x:v>
      </x:c>
      <x:c r="I87" s="7" t="n">
        <x:f>SUM(C87:H87)</x:f>
        <x:v>26</x:v>
      </x:c>
      <x:c r="J87" s="7" t="str">
        <x:f>IF(I87&gt;=75,"S",IF(I87&gt;=60,"A",IF(I87&gt;=45,"B",IF(I87&gt;=30,"C","D"))))</x:f>
        <x:v>D</x:v>
      </x:c>
      <x:c r="K87" s="7" t="str">
        <x:v>Engine</x:v>
      </x:c>
      <x:c r="L87" s="7" t="str">
        <x:v>P4-CO-09,P4-CO-11,P4-CO-15</x:v>
      </x:c>
      <x:c r="M87" s="7" t="str">
        <x:v>Parts and starter/head terminology only; complete-engine demand remains unverified.</x:v>
      </x:c>
      <x:c r="N87" s="7" t="str">
        <x:v>Medium</x:v>
      </x:c>
      <x:c r="O87" s="7" t="str">
        <x:v>Low</x:v>
      </x:c>
      <x:c r="P87" s="7" t="str">
        <x:v>Low</x:v>
      </x:c>
      <x:c r="Q87" s="7" t="str">
        <x:v>CG150 platform research</x:v>
      </x:c>
      <x:c r="R87" s="7" t="str">
        <x:v>VALIDATE DEMAND</x:v>
      </x:c>
      <x:c r="S87" s="7" t="str">
        <x:v>NOT APPROVED</x:v>
      </x:c>
    </x:row>
    <x:row r="88" ht="30" customHeight="1">
      <x:c r="A88" s="7" t="str">
        <x:v>Colombia</x:v>
      </x:c>
      <x:c r="B88" s="7" t="str">
        <x:v>CG175 air-cooled</x:v>
      </x:c>
      <x:c r="C88" s="7" t="n">
        <x:v>0</x:v>
      </x:c>
      <x:c r="D88" s="7" t="n">
        <x:v>0</x:v>
      </x:c>
      <x:c r="E88" s="7" t="n">
        <x:v>0</x:v>
      </x:c>
      <x:c r="F88" s="7" t="n">
        <x:v>0</x:v>
      </x:c>
      <x:c r="G88" s="7" t="n">
        <x:v>0</x:v>
      </x:c>
      <x:c r="H88" s="7" t="n">
        <x:v>0</x:v>
      </x:c>
      <x:c r="I88" s="7" t="n">
        <x:f>SUM(C88:H88)</x:f>
        <x:v>0</x:v>
      </x:c>
      <x:c r="J88" s="7" t="str">
        <x:f>IF(I88&gt;=75,"S",IF(I88&gt;=60,"A",IF(I88&gt;=45,"B",IF(I88&gt;=30,"C","D"))))</x:f>
        <x:v>D</x:v>
      </x:c>
      <x:c r="K88" s="7" t="str">
        <x:v>Engine</x:v>
      </x:c>
      <x:c r="L88" s="7" t="str">
        <x:v>No product-specific evidence</x:v>
      </x:c>
      <x:c r="M88" s="7" t="str">
        <x:v>No Colombia-specific evidence.</x:v>
      </x:c>
      <x:c r="N88" s="7" t="str">
        <x:v>Low</x:v>
      </x:c>
      <x:c r="O88" s="7" t="str">
        <x:v>Low</x:v>
      </x:c>
      <x:c r="P88" s="7" t="str">
        <x:v>Low</x:v>
      </x:c>
      <x:c r="Q88" s="7" t="str">
        <x:v>NOT TESTED</x:v>
      </x:c>
      <x:c r="R88" s="7" t="str">
        <x:v>NOT TESTED</x:v>
      </x:c>
      <x:c r="S88" s="7" t="str">
        <x:v>NOT APPROVED</x:v>
      </x:c>
    </x:row>
    <x:row r="89" ht="30" customHeight="1">
      <x:c r="A89" s="7" t="str">
        <x:v>Colombia</x:v>
      </x:c>
      <x:c r="B89" s="7" t="str">
        <x:v>CG200 air-cooled</x:v>
      </x:c>
      <x:c r="C89" s="7" t="n">
        <x:v>5</x:v>
      </x:c>
      <x:c r="D89" s="7" t="n">
        <x:v>0</x:v>
      </x:c>
      <x:c r="E89" s="7" t="n">
        <x:v>5</x:v>
      </x:c>
      <x:c r="F89" s="7" t="n">
        <x:v>3</x:v>
      </x:c>
      <x:c r="G89" s="7" t="n">
        <x:v>0</x:v>
      </x:c>
      <x:c r="H89" s="7" t="n">
        <x:v>0</x:v>
      </x:c>
      <x:c r="I89" s="7" t="n">
        <x:f>SUM(C89:H89)</x:f>
        <x:v>13</x:v>
      </x:c>
      <x:c r="J89" s="7" t="str">
        <x:f>IF(I89&gt;=75,"S",IF(I89&gt;=60,"A",IF(I89&gt;=45,"B",IF(I89&gt;=30,"C","D"))))</x:f>
        <x:v>D</x:v>
      </x:c>
      <x:c r="K89" s="7" t="str">
        <x:v>Engine</x:v>
      </x:c>
      <x:c r="L89" s="7" t="str">
        <x:v>P4-CO-11</x:v>
      </x:c>
      <x:c r="M89" s="7" t="str">
        <x:v>Starter price-list signal only; not complete-engine demand.</x:v>
      </x:c>
      <x:c r="N89" s="7" t="str">
        <x:v>Low</x:v>
      </x:c>
      <x:c r="O89" s="7" t="str">
        <x:v>Low</x:v>
      </x:c>
      <x:c r="P89" s="7" t="str">
        <x:v>Low</x:v>
      </x:c>
      <x:c r="Q89" s="7" t="str">
        <x:v>CG200 parts/platform research</x:v>
      </x:c>
      <x:c r="R89" s="7" t="str">
        <x:v>VALIDATE DEMAND</x:v>
      </x:c>
      <x:c r="S89" s="7" t="str">
        <x:v>NOT APPROVED</x:v>
      </x:c>
    </x:row>
    <x:row r="90" ht="30" customHeight="1">
      <x:c r="A90" s="7" t="str">
        <x:v>Colombia</x:v>
      </x:c>
      <x:c r="B90" s="7" t="str">
        <x:v>CG250 air-cooled</x:v>
      </x:c>
      <x:c r="C90" s="7" t="n">
        <x:v>0</x:v>
      </x:c>
      <x:c r="D90" s="7" t="n">
        <x:v>0</x:v>
      </x:c>
      <x:c r="E90" s="7" t="n">
        <x:v>0</x:v>
      </x:c>
      <x:c r="F90" s="7" t="n">
        <x:v>0</x:v>
      </x:c>
      <x:c r="G90" s="7" t="n">
        <x:v>0</x:v>
      </x:c>
      <x:c r="H90" s="7" t="n">
        <x:v>0</x:v>
      </x:c>
      <x:c r="I90" s="7" t="n">
        <x:f>SUM(C90:H90)</x:f>
        <x:v>0</x:v>
      </x:c>
      <x:c r="J90" s="7" t="str">
        <x:f>IF(I90&gt;=75,"S",IF(I90&gt;=60,"A",IF(I90&gt;=45,"B",IF(I90&gt;=30,"C","D"))))</x:f>
        <x:v>D</x:v>
      </x:c>
      <x:c r="K90" s="7" t="str">
        <x:v>Engine</x:v>
      </x:c>
      <x:c r="L90" s="7" t="str">
        <x:v>No product-specific evidence</x:v>
      </x:c>
      <x:c r="M90" s="7" t="str">
        <x:v>No Colombia-specific evidence.</x:v>
      </x:c>
      <x:c r="N90" s="7" t="str">
        <x:v>Low</x:v>
      </x:c>
      <x:c r="O90" s="7" t="str">
        <x:v>Low</x:v>
      </x:c>
      <x:c r="P90" s="7" t="str">
        <x:v>Low</x:v>
      </x:c>
      <x:c r="Q90" s="7" t="str">
        <x:v>NOT TESTED</x:v>
      </x:c>
      <x:c r="R90" s="7" t="str">
        <x:v>NOT TESTED</x:v>
      </x:c>
      <x:c r="S90" s="7" t="str">
        <x:v>NOT APPROVED</x:v>
      </x:c>
    </x:row>
    <x:row r="91" ht="30" customHeight="1">
      <x:c r="A91" s="7" t="str">
        <x:v>Colombia</x:v>
      </x:c>
      <x:c r="B91" s="7" t="str">
        <x:v>CG150-250 water-cooled cargo</x:v>
      </x:c>
      <x:c r="C91" s="7" t="n">
        <x:v>4</x:v>
      </x:c>
      <x:c r="D91" s="7" t="n">
        <x:v>0</x:v>
      </x:c>
      <x:c r="E91" s="7" t="n">
        <x:v>4</x:v>
      </x:c>
      <x:c r="F91" s="7" t="n">
        <x:v>2</x:v>
      </x:c>
      <x:c r="G91" s="7" t="n">
        <x:v>0</x:v>
      </x:c>
      <x:c r="H91" s="7" t="n">
        <x:v>0</x:v>
      </x:c>
      <x:c r="I91" s="7" t="n">
        <x:f>SUM(C91:H91)</x:f>
        <x:v>10</x:v>
      </x:c>
      <x:c r="J91" s="7" t="str">
        <x:f>IF(I91&gt;=75,"S",IF(I91&gt;=60,"A",IF(I91&gt;=45,"B",IF(I91&gt;=30,"C","D"))))</x:f>
        <x:v>D</x:v>
      </x:c>
      <x:c r="K91" s="7" t="str">
        <x:v>Engine</x:v>
      </x:c>
      <x:c r="L91" s="7" t="str">
        <x:v>P4-CO-12</x:v>
      </x:c>
      <x:c r="M91" s="7" t="str">
        <x:v>Tuk-Tuk vehicle context only; cooling architecture and replacement demand not verified.</x:v>
      </x:c>
      <x:c r="N91" s="7" t="str">
        <x:v>Low</x:v>
      </x:c>
      <x:c r="O91" s="7" t="str">
        <x:v>Low</x:v>
      </x:c>
      <x:c r="P91" s="7" t="str">
        <x:v>Low</x:v>
      </x:c>
      <x:c r="Q91" s="7" t="str">
        <x:v>cargo tricycle qualification</x:v>
      </x:c>
      <x:c r="R91" s="7" t="str">
        <x:v>VALIDATE DEMAND</x:v>
      </x:c>
      <x:c r="S91" s="7" t="str">
        <x:v>NOT APPROVED</x:v>
      </x:c>
    </x:row>
    <x:row r="92" ht="30" customHeight="1">
      <x:c r="A92" s="7" t="str">
        <x:v>Colombia</x:v>
      </x:c>
      <x:c r="B92" s="7" t="str">
        <x:v>Honda-style 110 horizontal</x:v>
      </x:c>
      <x:c r="C92" s="7" t="n">
        <x:v>0</x:v>
      </x:c>
      <x:c r="D92" s="7" t="n">
        <x:v>0</x:v>
      </x:c>
      <x:c r="E92" s="7" t="n">
        <x:v>0</x:v>
      </x:c>
      <x:c r="F92" s="7" t="n">
        <x:v>0</x:v>
      </x:c>
      <x:c r="G92" s="7" t="n">
        <x:v>0</x:v>
      </x:c>
      <x:c r="H92" s="7" t="n">
        <x:v>0</x:v>
      </x:c>
      <x:c r="I92" s="7" t="n">
        <x:f>SUM(C92:H92)</x:f>
        <x:v>0</x:v>
      </x:c>
      <x:c r="J92" s="7" t="str">
        <x:f>IF(I92&gt;=75,"S",IF(I92&gt;=60,"A",IF(I92&gt;=45,"B",IF(I92&gt;=30,"C","D"))))</x:f>
        <x:v>D</x:v>
      </x:c>
      <x:c r="K92" s="7" t="str">
        <x:v>Engine</x:v>
      </x:c>
      <x:c r="L92" s="7" t="str">
        <x:v>No product-specific evidence</x:v>
      </x:c>
      <x:c r="M92" s="7" t="str">
        <x:v>No Colombia-specific evidence.</x:v>
      </x:c>
      <x:c r="N92" s="7" t="str">
        <x:v>Low</x:v>
      </x:c>
      <x:c r="O92" s="7" t="str">
        <x:v>Low</x:v>
      </x:c>
      <x:c r="P92" s="7" t="str">
        <x:v>Low</x:v>
      </x:c>
      <x:c r="Q92" s="7" t="str">
        <x:v>NOT TESTED</x:v>
      </x:c>
      <x:c r="R92" s="7" t="str">
        <x:v>NOT TESTED</x:v>
      </x:c>
      <x:c r="S92" s="7" t="str">
        <x:v>NOT APPROVED</x:v>
      </x:c>
    </x:row>
    <x:row r="93" ht="30" customHeight="1">
      <x:c r="A93" s="7" t="str">
        <x:v>Colombia</x:v>
      </x:c>
      <x:c r="B93" s="7" t="str">
        <x:v>Honda-style 125 horizontal</x:v>
      </x:c>
      <x:c r="C93" s="7" t="n">
        <x:v>4</x:v>
      </x:c>
      <x:c r="D93" s="7" t="n">
        <x:v>0</x:v>
      </x:c>
      <x:c r="E93" s="7" t="n">
        <x:v>5</x:v>
      </x:c>
      <x:c r="F93" s="7" t="n">
        <x:v>3</x:v>
      </x:c>
      <x:c r="G93" s="7" t="n">
        <x:v>0</x:v>
      </x:c>
      <x:c r="H93" s="7" t="n">
        <x:v>0</x:v>
      </x:c>
      <x:c r="I93" s="7" t="n">
        <x:f>SUM(C93:H93)</x:f>
        <x:v>12</x:v>
      </x:c>
      <x:c r="J93" s="7" t="str">
        <x:f>IF(I93&gt;=75,"S",IF(I93&gt;=60,"A",IF(I93&gt;=45,"B",IF(I93&gt;=30,"C","D"))))</x:f>
        <x:v>D</x:v>
      </x:c>
      <x:c r="K93" s="7" t="str">
        <x:v>Engine</x:v>
      </x:c>
      <x:c r="L93" s="7" t="str">
        <x:v>P4-CO-10,P4-CO-13</x:v>
      </x:c>
      <x:c r="M93" s="7" t="str">
        <x:v>AKT125 parts/platform evidence only; interface compatibility is unknown.</x:v>
      </x:c>
      <x:c r="N93" s="7" t="str">
        <x:v>Low</x:v>
      </x:c>
      <x:c r="O93" s="7" t="str">
        <x:v>Low</x:v>
      </x:c>
      <x:c r="P93" s="7" t="str">
        <x:v>Low</x:v>
      </x:c>
      <x:c r="Q93" s="7" t="str">
        <x:v>AKT125 platform qualification</x:v>
      </x:c>
      <x:c r="R93" s="7" t="str">
        <x:v>VALIDATE FIT</x:v>
      </x:c>
      <x:c r="S93" s="7" t="str">
        <x:v>NOT APPROVED</x:v>
      </x:c>
    </x:row>
    <x:row r="94" ht="30" customHeight="1">
      <x:c r="A94" s="7" t="str">
        <x:v>Colombia</x:v>
      </x:c>
      <x:c r="B94" s="7" t="str">
        <x:v>Honda-style 130/140 horizontal</x:v>
      </x:c>
      <x:c r="C94" s="7" t="n">
        <x:v>0</x:v>
      </x:c>
      <x:c r="D94" s="7" t="n">
        <x:v>0</x:v>
      </x:c>
      <x:c r="E94" s="7" t="n">
        <x:v>0</x:v>
      </x:c>
      <x:c r="F94" s="7" t="n">
        <x:v>0</x:v>
      </x:c>
      <x:c r="G94" s="7" t="n">
        <x:v>0</x:v>
      </x:c>
      <x:c r="H94" s="7" t="n">
        <x:v>0</x:v>
      </x:c>
      <x:c r="I94" s="7" t="n">
        <x:f>SUM(C94:H94)</x:f>
        <x:v>0</x:v>
      </x:c>
      <x:c r="J94" s="7" t="str">
        <x:f>IF(I94&gt;=75,"S",IF(I94&gt;=60,"A",IF(I94&gt;=45,"B",IF(I94&gt;=30,"C","D"))))</x:f>
        <x:v>D</x:v>
      </x:c>
      <x:c r="K94" s="7" t="str">
        <x:v>Engine</x:v>
      </x:c>
      <x:c r="L94" s="7" t="str">
        <x:v>No product-specific evidence</x:v>
      </x:c>
      <x:c r="M94" s="7" t="str">
        <x:v>No Colombia-specific evidence.</x:v>
      </x:c>
      <x:c r="N94" s="7" t="str">
        <x:v>Low</x:v>
      </x:c>
      <x:c r="O94" s="7" t="str">
        <x:v>Low</x:v>
      </x:c>
      <x:c r="P94" s="7" t="str">
        <x:v>Low</x:v>
      </x:c>
      <x:c r="Q94" s="7" t="str">
        <x:v>NOT TESTED</x:v>
      </x:c>
      <x:c r="R94" s="7" t="str">
        <x:v>NOT TESTED</x:v>
      </x:c>
      <x:c r="S94" s="7" t="str">
        <x:v>NOT APPROVED</x:v>
      </x:c>
    </x:row>
    <x:row r="95" ht="30" customHeight="1">
      <x:c r="A95" s="7" t="str">
        <x:v>Colombia</x:v>
      </x:c>
      <x:c r="B95" s="7" t="str">
        <x:v>Automatic-clutch CG</x:v>
      </x:c>
      <x:c r="C95" s="7" t="n">
        <x:v>0</x:v>
      </x:c>
      <x:c r="D95" s="7" t="n">
        <x:v>0</x:v>
      </x:c>
      <x:c r="E95" s="7" t="n">
        <x:v>0</x:v>
      </x:c>
      <x:c r="F95" s="7" t="n">
        <x:v>0</x:v>
      </x:c>
      <x:c r="G95" s="7" t="n">
        <x:v>0</x:v>
      </x:c>
      <x:c r="H95" s="7" t="n">
        <x:v>0</x:v>
      </x:c>
      <x:c r="I95" s="7" t="n">
        <x:f>SUM(C95:H95)</x:f>
        <x:v>0</x:v>
      </x:c>
      <x:c r="J95" s="7" t="str">
        <x:f>IF(I95&gt;=75,"S",IF(I95&gt;=60,"A",IF(I95&gt;=45,"B",IF(I95&gt;=30,"C","D"))))</x:f>
        <x:v>D</x:v>
      </x:c>
      <x:c r="K95" s="7" t="str">
        <x:v>Engine</x:v>
      </x:c>
      <x:c r="L95" s="7" t="str">
        <x:v>No product-specific evidence</x:v>
      </x:c>
      <x:c r="M95" s="7" t="str">
        <x:v>No Colombia-specific evidence.</x:v>
      </x:c>
      <x:c r="N95" s="7" t="str">
        <x:v>Low</x:v>
      </x:c>
      <x:c r="O95" s="7" t="str">
        <x:v>Low</x:v>
      </x:c>
      <x:c r="P95" s="7" t="str">
        <x:v>Low</x:v>
      </x:c>
      <x:c r="Q95" s="7" t="str">
        <x:v>NOT TESTED</x:v>
      </x:c>
      <x:c r="R95" s="7" t="str">
        <x:v>NOT TESTED</x:v>
      </x:c>
      <x:c r="S95" s="7" t="str">
        <x:v>NOT APPROVED</x:v>
      </x:c>
    </x:row>
    <x:row r="96" ht="30" customHeight="1">
      <x:c r="A96" s="7" t="str">
        <x:v>Colombia</x:v>
      </x:c>
      <x:c r="B96" s="7" t="str">
        <x:v>Automatic-clutch horizontal</x:v>
      </x:c>
      <x:c r="C96" s="7" t="n">
        <x:v>0</x:v>
      </x:c>
      <x:c r="D96" s="7" t="n">
        <x:v>0</x:v>
      </x:c>
      <x:c r="E96" s="7" t="n">
        <x:v>0</x:v>
      </x:c>
      <x:c r="F96" s="7" t="n">
        <x:v>0</x:v>
      </x:c>
      <x:c r="G96" s="7" t="n">
        <x:v>0</x:v>
      </x:c>
      <x:c r="H96" s="7" t="n">
        <x:v>0</x:v>
      </x:c>
      <x:c r="I96" s="7" t="n">
        <x:f>SUM(C96:H96)</x:f>
        <x:v>0</x:v>
      </x:c>
      <x:c r="J96" s="7" t="str">
        <x:f>IF(I96&gt;=75,"S",IF(I96&gt;=60,"A",IF(I96&gt;=45,"B",IF(I96&gt;=30,"C","D"))))</x:f>
        <x:v>D</x:v>
      </x:c>
      <x:c r="K96" s="7" t="str">
        <x:v>Engine</x:v>
      </x:c>
      <x:c r="L96" s="7" t="str">
        <x:v>No product-specific evidence</x:v>
      </x:c>
      <x:c r="M96" s="7" t="str">
        <x:v>No Colombia-specific evidence.</x:v>
      </x:c>
      <x:c r="N96" s="7" t="str">
        <x:v>Low</x:v>
      </x:c>
      <x:c r="O96" s="7" t="str">
        <x:v>Low</x:v>
      </x:c>
      <x:c r="P96" s="7" t="str">
        <x:v>Low</x:v>
      </x:c>
      <x:c r="Q96" s="7" t="str">
        <x:v>NOT TESTED</x:v>
      </x:c>
      <x:c r="R96" s="7" t="str">
        <x:v>NOT TESTED</x:v>
      </x:c>
      <x:c r="S96" s="7" t="str">
        <x:v>NOT APPROVED</x:v>
      </x:c>
    </x:row>
    <x:row r="97" ht="30" customHeight="1">
      <x:c r="A97" s="7" t="str">
        <x:v>Colombia</x:v>
      </x:c>
      <x:c r="B97" s="7" t="str">
        <x:v>CB150/200/250 off-road</x:v>
      </x:c>
      <x:c r="C97" s="7" t="n">
        <x:v>0</x:v>
      </x:c>
      <x:c r="D97" s="7" t="n">
        <x:v>0</x:v>
      </x:c>
      <x:c r="E97" s="7" t="n">
        <x:v>0</x:v>
      </x:c>
      <x:c r="F97" s="7" t="n">
        <x:v>0</x:v>
      </x:c>
      <x:c r="G97" s="7" t="n">
        <x:v>0</x:v>
      </x:c>
      <x:c r="H97" s="7" t="n">
        <x:v>0</x:v>
      </x:c>
      <x:c r="I97" s="7" t="n">
        <x:f>SUM(C97:H97)</x:f>
        <x:v>0</x:v>
      </x:c>
      <x:c r="J97" s="7" t="str">
        <x:f>IF(I97&gt;=75,"S",IF(I97&gt;=60,"A",IF(I97&gt;=45,"B",IF(I97&gt;=30,"C","D"))))</x:f>
        <x:v>D</x:v>
      </x:c>
      <x:c r="K97" s="7" t="str">
        <x:v>Engine</x:v>
      </x:c>
      <x:c r="L97" s="7" t="str">
        <x:v>No product-specific evidence</x:v>
      </x:c>
      <x:c r="M97" s="7" t="str">
        <x:v>No Colombia-specific evidence.</x:v>
      </x:c>
      <x:c r="N97" s="7" t="str">
        <x:v>Low</x:v>
      </x:c>
      <x:c r="O97" s="7" t="str">
        <x:v>Low</x:v>
      </x:c>
      <x:c r="P97" s="7" t="str">
        <x:v>Low</x:v>
      </x:c>
      <x:c r="Q97" s="7" t="str">
        <x:v>NOT TESTED</x:v>
      </x:c>
      <x:c r="R97" s="7" t="str">
        <x:v>NOT TESTED</x:v>
      </x:c>
      <x:c r="S97" s="7" t="str">
        <x:v>NOT APPROVED</x:v>
      </x:c>
    </x:row>
    <x:row r="98" ht="30" customHeight="1">
      <x:c r="A98" s="7" t="str">
        <x:v>Colombia</x:v>
      </x:c>
      <x:c r="B98" s="7" t="str">
        <x:v>EFI water-cooled</x:v>
      </x:c>
      <x:c r="C98" s="7" t="n">
        <x:v>0</x:v>
      </x:c>
      <x:c r="D98" s="7" t="n">
        <x:v>0</x:v>
      </x:c>
      <x:c r="E98" s="7" t="n">
        <x:v>0</x:v>
      </x:c>
      <x:c r="F98" s="7" t="n">
        <x:v>0</x:v>
      </x:c>
      <x:c r="G98" s="7" t="n">
        <x:v>0</x:v>
      </x:c>
      <x:c r="H98" s="7" t="n">
        <x:v>0</x:v>
      </x:c>
      <x:c r="I98" s="7" t="n">
        <x:f>SUM(C98:H98)</x:f>
        <x:v>0</x:v>
      </x:c>
      <x:c r="J98" s="7" t="str">
        <x:f>IF(I98&gt;=75,"S",IF(I98&gt;=60,"A",IF(I98&gt;=45,"B",IF(I98&gt;=30,"C","D"))))</x:f>
        <x:v>D</x:v>
      </x:c>
      <x:c r="K98" s="7" t="str">
        <x:v>Engine</x:v>
      </x:c>
      <x:c r="L98" s="7" t="str">
        <x:v>No product-specific evidence</x:v>
      </x:c>
      <x:c r="M98" s="7" t="str">
        <x:v>No Colombia-specific evidence.</x:v>
      </x:c>
      <x:c r="N98" s="7" t="str">
        <x:v>Low</x:v>
      </x:c>
      <x:c r="O98" s="7" t="str">
        <x:v>Low</x:v>
      </x:c>
      <x:c r="P98" s="7" t="str">
        <x:v>Low</x:v>
      </x:c>
      <x:c r="Q98" s="7" t="str">
        <x:v>NOT TESTED</x:v>
      </x:c>
      <x:c r="R98" s="7" t="str">
        <x:v>NOT TESTED</x:v>
      </x:c>
      <x:c r="S98" s="7" t="str">
        <x:v>NOT APPROVED</x:v>
      </x:c>
    </x:row>
    <x:row r="99" ht="30" customHeight="1">
      <x:c r="A99" s="7" t="str">
        <x:v>Colombia</x:v>
      </x:c>
      <x:c r="B99" s="7" t="str">
        <x:v>Engine parts / spares pack</x:v>
      </x:c>
      <x:c r="C99" s="7" t="n">
        <x:v>18</x:v>
      </x:c>
      <x:c r="D99" s="7" t="n">
        <x:v>0</x:v>
      </x:c>
      <x:c r="E99" s="7" t="n">
        <x:v>12</x:v>
      </x:c>
      <x:c r="F99" s="7" t="n">
        <x:v>8</x:v>
      </x:c>
      <x:c r="G99" s="7" t="n">
        <x:v>0</x:v>
      </x:c>
      <x:c r="H99" s="7" t="n">
        <x:v>0</x:v>
      </x:c>
      <x:c r="I99" s="7" t="n">
        <x:f>SUM(C99:H99)</x:f>
        <x:v>38</x:v>
      </x:c>
      <x:c r="J99" s="7" t="str">
        <x:f>IF(I99&gt;=75,"S",IF(I99&gt;=60,"A",IF(I99&gt;=45,"B",IF(I99&gt;=30,"C","D"))))</x:f>
        <x:v>C</x:v>
      </x:c>
      <x:c r="K99" s="7" t="str">
        <x:v>Aftermarket / parts</x:v>
      </x:c>
      <x:c r="L99" s="7" t="str">
        <x:v>P4-CO-01,P4-CO-02,P4-CO-03,P4-CO-04,P4-CO-05,P4-CO-06,P4-CO-07</x:v>
      </x:c>
      <x:c r="M99" s="7" t="str">
        <x:v>Official and distributor parts ecosystems support a qualification-led aftermarket offer.</x:v>
      </x:c>
      <x:c r="N99" s="7" t="str">
        <x:v>High</x:v>
      </x:c>
      <x:c r="O99" s="7" t="str">
        <x:v>Not applicable</x:v>
      </x:c>
      <x:c r="P99" s="7" t="str">
        <x:v>Part-number-specific</x:v>
      </x:c>
      <x:c r="Q99" s="7" t="str">
        <x:v>parts/distributor development</x:v>
      </x:c>
      <x:c r="R99" s="7" t="str">
        <x:v>VALIDATE ECONOMICS</x:v>
      </x:c>
      <x:c r="S99" s="7" t="str">
        <x:v>NOT APPROVED</x:v>
      </x:c>
    </x:row>
  </x:sheetData>
  <x:conditionalFormatting sqref="A2:S99">
    <x:cfRule type="expression" dxfId="0" priority="1">
      <x:formula>$A2="Colombia"</x:formula>
    </x:cfRule>
    <x:cfRule type="expression" dxfId="1" priority="2">
      <x:formula>ISNUMBER(SEARCH("NOT APPROVED",$A2&amp;$B2&amp;$C2&amp;$D2&amp;$E2&amp;$F2&amp;$G2&amp;$H2&amp;$I2&amp;$J2&amp;$K2&amp;$L2))</x:formula>
    </x:cfRule>
  </x:conditionalFormatting>
  <x:pageMargins left="0.7" right="0.7" top="0.75" bottom="0.75" header="0.3" footer="0.3"/>
</x:worksheet>
</file>