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4fce460594a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SD 1000 Models" sheetId="1" r:id="R76bebdc6f75c423b"/>
    <x:sheet xmlns:r="http://schemas.openxmlformats.org/officeDocument/2006/relationships" name="Scenario Checks" sheetId="2" r:id="R2f6d55a8526945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$#,##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B1F33"/>
      </x:patternFill>
    </x:fill>
  </x:fills>
  <x:borders count="2">
    <x:border/>
    <x:border>
      <x:bottom style="thin">
        <x:color rgb="FFE8EEF4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978a1adfe64891" /><Relationship Type="http://schemas.openxmlformats.org/officeDocument/2006/relationships/theme" Target="/xl/theme/theme1.xml" Id="R2c93d7906438442a" /><Relationship Type="http://schemas.openxmlformats.org/officeDocument/2006/relationships/sharedStrings" Target="/xl/sharedStrings.xml" Id="R576d0f278ada4c9d" /><Relationship Type="http://schemas.openxmlformats.org/officeDocument/2006/relationships/worksheet" Target="/xl/worksheets/sheet1.xml" Id="R76bebdc6f75c423b" /><Relationship Type="http://schemas.openxmlformats.org/officeDocument/2006/relationships/worksheet" Target="/xl/worksheets/sheet2.xml" Id="R2f6d55a8526945c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20" hidden="0" customWidth="1"/>
    <x:col min="5" max="5" width="20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  <x:col min="10" max="10" width="18" hidden="0" customWidth="1"/>
  </x:cols>
  <x:sheetData>
    <x:row r="1" ht="34" customHeight="1">
      <x:c r="A1" s="7" t="str">
        <x:v>Scenario</x:v>
      </x:c>
      <x:c r="B1" s="7" t="str">
        <x:v>Country</x:v>
      </x:c>
      <x:c r="C1" s="7" t="str">
        <x:v>Allocation %</x:v>
      </x:c>
      <x:c r="D1" s="7" t="str">
        <x:v>Scenario Total USD</x:v>
      </x:c>
      <x:c r="E1" s="7" t="str">
        <x:v>Country Budget USD</x:v>
      </x:c>
      <x:c r="F1" s="7" t="str">
        <x:v>CPC</x:v>
      </x:c>
      <x:c r="G1" s="7" t="str">
        <x:v>Clicks</x:v>
      </x:c>
      <x:c r="H1" s="7" t="str">
        <x:v>Conversions</x:v>
      </x:c>
      <x:c r="I1" s="7" t="str">
        <x:v>Profit</x:v>
      </x:c>
      <x:c r="J1" s="7" t="str">
        <x:v>Status</x:v>
      </x:c>
    </x:row>
    <x:row r="2" ht="42" customHeight="1">
      <x:c r="A2" s="10" t="str">
        <x:v>Model A — Balanced</x:v>
      </x:c>
      <x:c r="B2" s="10" t="str">
        <x:v>Peru</x:v>
      </x:c>
      <x:c r="C2" s="12" t="n">
        <x:v>0.4</x:v>
      </x:c>
      <x:c r="D2" s="14" t="n">
        <x:v>1000</x:v>
      </x:c>
      <x:c r="E2" s="14" t="n">
        <x:f>C2*D2</x:f>
        <x:v>400</x:v>
      </x:c>
      <x:c r="F2" s="10" t="str"/>
      <x:c r="G2" s="10" t="str"/>
      <x:c r="H2" s="10" t="str"/>
      <x:c r="I2" s="10" t="str"/>
      <x:c r="J2" s="10" t="str">
        <x:v>DESIGN ONLY</x:v>
      </x:c>
    </x:row>
    <x:row r="3" ht="42" customHeight="1">
      <x:c r="A3" s="10" t="str">
        <x:v>Model A — Balanced</x:v>
      </x:c>
      <x:c r="B3" s="10" t="str">
        <x:v>Uzbekistan</x:v>
      </x:c>
      <x:c r="C3" s="12" t="n">
        <x:v>0.35</x:v>
      </x:c>
      <x:c r="D3" s="14" t="n">
        <x:v>1000</x:v>
      </x:c>
      <x:c r="E3" s="14" t="n">
        <x:f>C3*D3</x:f>
        <x:v>350</x:v>
      </x:c>
      <x:c r="F3" s="10" t="str"/>
      <x:c r="G3" s="10" t="str"/>
      <x:c r="H3" s="10" t="str"/>
      <x:c r="I3" s="10" t="str"/>
      <x:c r="J3" s="10" t="str">
        <x:v>DESIGN ONLY</x:v>
      </x:c>
    </x:row>
    <x:row r="4" ht="42" customHeight="1">
      <x:c r="A4" s="10" t="str">
        <x:v>Model A — Balanced</x:v>
      </x:c>
      <x:c r="B4" s="10" t="str">
        <x:v>Russia</x:v>
      </x:c>
      <x:c r="C4" s="12" t="n">
        <x:v>0.25</x:v>
      </x:c>
      <x:c r="D4" s="14" t="n">
        <x:v>1000</x:v>
      </x:c>
      <x:c r="E4" s="14" t="n">
        <x:f>C4*D4</x:f>
        <x:v>250</x:v>
      </x:c>
      <x:c r="F4" s="10" t="str"/>
      <x:c r="G4" s="10" t="str"/>
      <x:c r="H4" s="10" t="str"/>
      <x:c r="I4" s="10" t="str"/>
      <x:c r="J4" s="10" t="str">
        <x:v>DESIGN ONLY</x:v>
      </x:c>
    </x:row>
    <x:row r="5" ht="42" customHeight="1">
      <x:c r="A5" s="10" t="str">
        <x:v>Model B — Peru weighted</x:v>
      </x:c>
      <x:c r="B5" s="10" t="str">
        <x:v>Peru</x:v>
      </x:c>
      <x:c r="C5" s="12" t="n">
        <x:v>0.5</x:v>
      </x:c>
      <x:c r="D5" s="14" t="n">
        <x:v>1000</x:v>
      </x:c>
      <x:c r="E5" s="14" t="n">
        <x:f>C5*D5</x:f>
        <x:v>500</x:v>
      </x:c>
      <x:c r="F5" s="10" t="str"/>
      <x:c r="G5" s="10" t="str"/>
      <x:c r="H5" s="10" t="str"/>
      <x:c r="I5" s="10" t="str"/>
      <x:c r="J5" s="10" t="str">
        <x:v>DESIGN ONLY</x:v>
      </x:c>
    </x:row>
    <x:row r="6" ht="42" customHeight="1">
      <x:c r="A6" s="10" t="str">
        <x:v>Model B — Peru weighted</x:v>
      </x:c>
      <x:c r="B6" s="10" t="str">
        <x:v>Uzbekistan</x:v>
      </x:c>
      <x:c r="C6" s="12" t="n">
        <x:v>0.3</x:v>
      </x:c>
      <x:c r="D6" s="14" t="n">
        <x:v>1000</x:v>
      </x:c>
      <x:c r="E6" s="14" t="n">
        <x:f>C6*D6</x:f>
        <x:v>300</x:v>
      </x:c>
      <x:c r="F6" s="10" t="str"/>
      <x:c r="G6" s="10" t="str"/>
      <x:c r="H6" s="10" t="str"/>
      <x:c r="I6" s="10" t="str"/>
      <x:c r="J6" s="10" t="str">
        <x:v>DESIGN ONLY</x:v>
      </x:c>
    </x:row>
    <x:row r="7" ht="42" customHeight="1">
      <x:c r="A7" s="10" t="str">
        <x:v>Model B — Peru weighted</x:v>
      </x:c>
      <x:c r="B7" s="10" t="str">
        <x:v>Russia</x:v>
      </x:c>
      <x:c r="C7" s="12" t="n">
        <x:v>0.2</x:v>
      </x:c>
      <x:c r="D7" s="14" t="n">
        <x:v>1000</x:v>
      </x:c>
      <x:c r="E7" s="14" t="n">
        <x:f>C7*D7</x:f>
        <x:v>200</x:v>
      </x:c>
      <x:c r="F7" s="10" t="str"/>
      <x:c r="G7" s="10" t="str"/>
      <x:c r="H7" s="10" t="str"/>
      <x:c r="I7" s="10" t="str"/>
      <x:c r="J7" s="10" t="str">
        <x:v>DESIGN ONLY</x:v>
      </x:c>
    </x:row>
    <x:row r="8" ht="42" customHeight="1">
      <x:c r="A8" s="10" t="str">
        <x:v>Model C — Eurasia learning</x:v>
      </x:c>
      <x:c r="B8" s="10" t="str">
        <x:v>Peru</x:v>
      </x:c>
      <x:c r="C8" s="12" t="n">
        <x:v>0.3</x:v>
      </x:c>
      <x:c r="D8" s="14" t="n">
        <x:v>1000</x:v>
      </x:c>
      <x:c r="E8" s="14" t="n">
        <x:f>C8*D8</x:f>
        <x:v>300</x:v>
      </x:c>
      <x:c r="F8" s="10" t="str"/>
      <x:c r="G8" s="10" t="str"/>
      <x:c r="H8" s="10" t="str"/>
      <x:c r="I8" s="10" t="str"/>
      <x:c r="J8" s="10" t="str">
        <x:v>DESIGN ONLY</x:v>
      </x:c>
    </x:row>
    <x:row r="9" ht="42" customHeight="1">
      <x:c r="A9" s="10" t="str">
        <x:v>Model C — Eurasia learning</x:v>
      </x:c>
      <x:c r="B9" s="10" t="str">
        <x:v>Uzbekistan</x:v>
      </x:c>
      <x:c r="C9" s="12" t="n">
        <x:v>0.35</x:v>
      </x:c>
      <x:c r="D9" s="14" t="n">
        <x:v>1000</x:v>
      </x:c>
      <x:c r="E9" s="14" t="n">
        <x:f>C9*D9</x:f>
        <x:v>350</x:v>
      </x:c>
      <x:c r="F9" s="10" t="str"/>
      <x:c r="G9" s="10" t="str"/>
      <x:c r="H9" s="10" t="str"/>
      <x:c r="I9" s="10" t="str"/>
      <x:c r="J9" s="10" t="str">
        <x:v>DESIGN ONLY</x:v>
      </x:c>
    </x:row>
    <x:row r="10" ht="42" customHeight="1">
      <x:c r="A10" s="11" t="str">
        <x:v>Model C — Eurasia learning</x:v>
      </x:c>
      <x:c r="B10" s="11" t="str">
        <x:v>Russia</x:v>
      </x:c>
      <x:c r="C10" s="13" t="n">
        <x:v>0.35</x:v>
      </x:c>
      <x:c r="D10" s="15" t="n">
        <x:v>1000</x:v>
      </x:c>
      <x:c r="E10" s="15" t="n">
        <x:f>C10*D10</x:f>
        <x:v>350</x:v>
      </x:c>
      <x:c r="F10" s="11" t="str"/>
      <x:c r="G10" s="11" t="str"/>
      <x:c r="H10" s="11" t="str"/>
      <x:c r="I10" s="11" t="str"/>
      <x:c r="J10" s="11" t="str">
        <x:v>DESIGN ONLY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</x:cols>
  <x:sheetData>
    <x:row r="1" ht="34" customHeight="1">
      <x:c r="A1" s="7" t="str">
        <x:v>Scenario</x:v>
      </x:c>
      <x:c r="B1" s="7" t="str">
        <x:v>Allocation Check</x:v>
      </x:c>
      <x:c r="C1" s="7" t="str">
        <x:v>Budget Check</x:v>
      </x:c>
      <x:c r="D1" s="7" t="str">
        <x:v>Gate</x:v>
      </x:c>
    </x:row>
    <x:row r="2" ht="42" customHeight="1">
      <x:c r="A2" s="10" t="str">
        <x:v>Model A — Balanced</x:v>
      </x:c>
      <x:c r="B2" s="10" t="n">
        <x:f>SUMIF('USD 1000 Models'!A:A,A2,'USD 1000 Models'!C:C)</x:f>
        <x:v>1</x:v>
      </x:c>
      <x:c r="C2" s="10" t="n">
        <x:f>SUMIF('USD 1000 Models'!A:A,A2,'USD 1000 Models'!E:E)</x:f>
        <x:v>1000</x:v>
      </x:c>
      <x:c r="D2" s="10" t="str">
        <x:v>INPUT REQUIRED</x:v>
      </x:c>
    </x:row>
    <x:row r="3" ht="42" customHeight="1">
      <x:c r="A3" s="10" t="str">
        <x:v>Model B — Peru weighted</x:v>
      </x:c>
      <x:c r="B3" s="10" t="n">
        <x:f>SUMIF('USD 1000 Models'!A:A,A3,'USD 1000 Models'!C:C)</x:f>
        <x:v>1</x:v>
      </x:c>
      <x:c r="C3" s="10" t="n">
        <x:f>SUMIF('USD 1000 Models'!A:A,A3,'USD 1000 Models'!E:E)</x:f>
        <x:v>1000</x:v>
      </x:c>
      <x:c r="D3" s="10" t="str">
        <x:v>INPUT REQUIRED</x:v>
      </x:c>
    </x:row>
    <x:row r="4" ht="42" customHeight="1">
      <x:c r="A4" s="11" t="str">
        <x:v>Model C — Eurasia learning</x:v>
      </x:c>
      <x:c r="B4" s="11" t="n">
        <x:f>SUMIF('USD 1000 Models'!A:A,A4,'USD 1000 Models'!C:C)</x:f>
        <x:v>0.9999999999999999</x:v>
      </x:c>
      <x:c r="C4" s="11" t="n">
        <x:f>SUMIF('USD 1000 Models'!A:A,A4,'USD 1000 Models'!E:E)</x:f>
        <x:v>1000</x:v>
      </x:c>
      <x:c r="D4" s="11" t="str">
        <x:v>INPUT REQUIRED</x:v>
      </x:c>
    </x:row>
  </x:sheetData>
  <x:pageMargins left="0.7" right="0.7" top="0.75" bottom="0.75" header="0.3" footer="0.3"/>
</x:worksheet>
</file>