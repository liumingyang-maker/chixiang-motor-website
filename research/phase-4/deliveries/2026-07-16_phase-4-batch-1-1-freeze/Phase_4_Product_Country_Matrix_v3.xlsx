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2ffee938e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Country Matrix" sheetId="1" r:id="Ra45224f5a1ac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b162704594688" /><Relationship Type="http://schemas.openxmlformats.org/officeDocument/2006/relationships/theme" Target="/xl/theme/theme1.xml" Id="Rd36a918104fa43df" /><Relationship Type="http://schemas.openxmlformats.org/officeDocument/2006/relationships/sharedStrings" Target="/xl/sharedStrings.xml" Id="R030156e144a24322" /><Relationship Type="http://schemas.openxmlformats.org/officeDocument/2006/relationships/worksheet" Target="/xl/worksheets/sheet1.xml" Id="Ra45224f5a1ac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3" t="str">
        <x:v>Country</x:v>
      </x:c>
      <x:c r="B1" s="3" t="str">
        <x:v>Product</x:v>
      </x:c>
      <x:c r="C1" s="3" t="str">
        <x:v>Platform / vehicle fit (0-30)</x:v>
      </x:c>
      <x:c r="D1" s="3" t="str">
        <x:v>Complete-engine demand (0-20)</x:v>
      </x:c>
      <x:c r="E1" s="3" t="str">
        <x:v>Competitor / channel education (0-15)</x:v>
      </x:c>
      <x:c r="F1" s="3" t="str">
        <x:v>Search / advertising intent (0-15)</x:v>
      </x:c>
      <x:c r="G1" s="3" t="str">
        <x:v>Competition / profit space (0-10)</x:v>
      </x:c>
      <x:c r="H1" s="3" t="str">
        <x:v>Chixiang supply advantage (0-10)</x:v>
      </x:c>
      <x:c r="I1" s="3" t="str">
        <x:v>Total score (formula)</x:v>
      </x:c>
      <x:c r="J1" s="3" t="str">
        <x:v>Opportunity tier (formula)</x:v>
      </x:c>
      <x:c r="K1" s="3" t="str">
        <x:v>Demand type</x:v>
      </x:c>
      <x:c r="L1" s="3" t="str">
        <x:v>Main vehicle/application</x:v>
      </x:c>
      <x:c r="M1" s="3" t="str">
        <x:v>Component rationale</x:v>
      </x:c>
      <x:c r="N1" s="3" t="str">
        <x:v>Evidence IDs</x:v>
      </x:c>
      <x:c r="O1" s="3" t="str">
        <x:v>Market-direction confidence</x:v>
      </x:c>
      <x:c r="P1" s="3" t="str">
        <x:v>Complete-engine-demand confidence</x:v>
      </x:c>
      <x:c r="Q1" s="3" t="str">
        <x:v>Compatibility confidence</x:v>
      </x:c>
      <x:c r="R1" s="3" t="str">
        <x:v>Compatibility requirement</x:v>
      </x:c>
      <x:c r="S1" s="3" t="str">
        <x:v>Scoring model version</x:v>
      </x:c>
      <x:c r="T1" s="3" t="str">
        <x:v>Economics status</x:v>
      </x:c>
      <x:c r="U1" s="3" t="str">
        <x:v>Launch eligibility (formula)</x:v>
      </x:c>
    </x:row>
    <x:row r="2">
      <x:c r="A2" s="4" t="str">
        <x:v>Peru</x:v>
      </x:c>
      <x:c r="B2" s="4" t="str">
        <x:v>CG125 air-cooled</x:v>
      </x:c>
      <x:c r="C2" s="4" t="n">
        <x:v>0</x:v>
      </x:c>
      <x:c r="D2" s="4" t="n">
        <x:v>0</x:v>
      </x:c>
      <x:c r="E2" s="4" t="n">
        <x:v>0</x:v>
      </x:c>
      <x:c r="F2" s="4" t="n">
        <x:v>0</x:v>
      </x:c>
      <x:c r="G2" s="4" t="n">
        <x:v>0</x:v>
      </x:c>
      <x:c r="H2" s="4" t="n">
        <x:v>0</x:v>
      </x:c>
      <x:c r="I2" s="4" t="n">
        <x:f>SUM(C2:H2)</x:f>
        <x:v>0</x:v>
      </x:c>
      <x:c r="J2" s="4" t="str">
        <x:f>IF(I2&gt;=75,"S",IF(I2&gt;=60,"A",IF(I2&gt;=45,"B",IF(I2&gt;=30,"C","D"))))</x:f>
        <x:v>D</x:v>
      </x:c>
      <x:c r="K2" s="4" t="str">
        <x:v>Engine</x:v>
      </x:c>
      <x:c r="L2" s="4" t="str">
        <x:v>NOT TESTED</x:v>
      </x:c>
      <x:c r="M2" s="4" t="str">
        <x:v>No product-specific country evidence; unscored commercial components remain zero.</x:v>
      </x:c>
      <x:c r="N2" s="4" t="str">
        <x:v>No product-specific evidence</x:v>
      </x:c>
      <x:c r="O2" s="4" t="str">
        <x:v>Low</x:v>
      </x:c>
      <x:c r="P2" s="4" t="str">
        <x:v>Low</x:v>
      </x:c>
      <x:c r="Q2" s="4" t="str">
        <x:v>Low</x:v>
      </x:c>
      <x:c r="R2" s="4" t="str">
        <x:v>MODEL-SPECIFIC</x:v>
      </x:c>
      <x:c r="S2" s="4" t="str">
        <x:v>ENGINE-V1</x:v>
      </x:c>
      <x:c r="T2" s="4" t="str">
        <x:v>INPUT REQUIRED</x:v>
      </x:c>
      <x:c r="U2" s="4" t="str">
        <x:f>IF(Q2="Low","VALIDATE FIT",IF(P2="Low","VALIDATE DEMAND",IF(T2="INPUT REQUIRED","VALIDATE ECONOMICS","READY FOR ADS REVIEW")))</x:f>
        <x:v>VALIDATE FIT</x:v>
      </x:c>
    </x:row>
    <x:row r="3">
      <x:c r="A3" s="4" t="str">
        <x:v>Peru</x:v>
      </x:c>
      <x:c r="B3" s="4" t="str">
        <x:v>CG150 air-cooled</x:v>
      </x:c>
      <x:c r="C3" s="4" t="n">
        <x:v>22</x:v>
      </x:c>
      <x:c r="D3" s="4" t="n">
        <x:v>10</x:v>
      </x:c>
      <x:c r="E3" s="4" t="n">
        <x:v>10</x:v>
      </x:c>
      <x:c r="F3" s="4" t="n">
        <x:v>9</x:v>
      </x:c>
      <x:c r="G3" s="4" t="n">
        <x:v>4</x:v>
      </x:c>
      <x:c r="H3" s="4" t="n">
        <x:v>7</x:v>
      </x:c>
      <x:c r="I3" s="4" t="n">
        <x:f>SUM(C3:H3)</x:f>
        <x:v>62</x:v>
      </x:c>
      <x:c r="J3" s="4" t="str">
        <x:f>IF(I3&gt;=75,"S",IF(I3&gt;=60,"A",IF(I3&gt;=45,"B",IF(I3&gt;=30,"C","D"))))</x:f>
        <x:v>A</x:v>
      </x:c>
      <x:c r="K3" s="4" t="str">
        <x:v>Engine</x:v>
      </x:c>
      <x:c r="L3" s="4" t="str">
        <x:v>trimoto / mototaxi / work motorcycle</x:v>
      </x:c>
      <x:c r="M3" s="4" t="str">
        <x:v>150-class trimoto platform, local vehicle/channel signal and complete-engine listing; fit remains model-specific.</x:v>
      </x:c>
      <x:c r="N3" s="4" t="str">
        <x:v>P4-PE-01,P4-PE-02,P4-PE-03,P4-PE-07</x:v>
      </x:c>
      <x:c r="O3" s="4" t="str">
        <x:v>High</x:v>
      </x:c>
      <x:c r="P3" s="4" t="str">
        <x:v>Medium</x:v>
      </x:c>
      <x:c r="Q3" s="4" t="str">
        <x:v>Low</x:v>
      </x:c>
      <x:c r="R3" s="4" t="str">
        <x:v>MODEL-SPECIFIC</x:v>
      </x:c>
      <x:c r="S3" s="4" t="str">
        <x:v>ENGINE-V1</x:v>
      </x:c>
      <x:c r="T3" s="4" t="str">
        <x:v>INPUT REQUIRED</x:v>
      </x:c>
      <x:c r="U3" s="4" t="str">
        <x:f>IF(Q3="Low","VALIDATE FIT",IF(P3="Low","VALIDATE DEMAND",IF(T3="INPUT REQUIRED","VALIDATE ECONOMICS","READY FOR ADS REVIEW")))</x:f>
        <x:v>VALIDATE FIT</x:v>
      </x:c>
    </x:row>
    <x:row r="4">
      <x:c r="A4" s="4" t="str">
        <x:v>Peru</x:v>
      </x:c>
      <x:c r="B4" s="4" t="str">
        <x:v>CG175 air-cooled</x:v>
      </x:c>
      <x:c r="C4" s="4" t="n">
        <x:v>0</x:v>
      </x:c>
      <x:c r="D4" s="4" t="n">
        <x:v>0</x:v>
      </x:c>
      <x:c r="E4" s="4" t="n">
        <x:v>0</x:v>
      </x:c>
      <x:c r="F4" s="4" t="n">
        <x:v>0</x:v>
      </x:c>
      <x:c r="G4" s="4" t="n">
        <x:v>0</x:v>
      </x:c>
      <x:c r="H4" s="4" t="n">
        <x:v>0</x:v>
      </x:c>
      <x:c r="I4" s="4" t="n">
        <x:f>SUM(C4:H4)</x:f>
        <x:v>0</x:v>
      </x:c>
      <x:c r="J4" s="4" t="str">
        <x:f>IF(I4&gt;=75,"S",IF(I4&gt;=60,"A",IF(I4&gt;=45,"B",IF(I4&gt;=30,"C","D"))))</x:f>
        <x:v>D</x:v>
      </x:c>
      <x:c r="K4" s="4" t="str">
        <x:v>Engine</x:v>
      </x:c>
      <x:c r="L4" s="4" t="str">
        <x:v>NOT TESTED</x:v>
      </x:c>
      <x:c r="M4" s="4" t="str">
        <x:v>No product-specific country evidence; unscored commercial components remain zero.</x:v>
      </x:c>
      <x:c r="N4" s="4" t="str">
        <x:v>No product-specific evidence</x:v>
      </x:c>
      <x:c r="O4" s="4" t="str">
        <x:v>Low</x:v>
      </x:c>
      <x:c r="P4" s="4" t="str">
        <x:v>Low</x:v>
      </x:c>
      <x:c r="Q4" s="4" t="str">
        <x:v>Low</x:v>
      </x:c>
      <x:c r="R4" s="4" t="str">
        <x:v>MODEL-SPECIFIC</x:v>
      </x:c>
      <x:c r="S4" s="4" t="str">
        <x:v>ENGINE-V1</x:v>
      </x:c>
      <x:c r="T4" s="4" t="str">
        <x:v>INPUT REQUIRED</x:v>
      </x:c>
      <x:c r="U4" s="4" t="str">
        <x:f>IF(Q4="Low","VALIDATE FIT",IF(P4="Low","VALIDATE DEMAND",IF(T4="INPUT REQUIRED","VALIDATE ECONOMICS","READY FOR ADS REVIEW")))</x:f>
        <x:v>VALIDATE FIT</x:v>
      </x:c>
    </x:row>
    <x:row r="5">
      <x:c r="A5" s="4" t="str">
        <x:v>Peru</x:v>
      </x:c>
      <x:c r="B5" s="4" t="str">
        <x:v>CG200 air-cooled</x:v>
      </x:c>
      <x:c r="C5" s="4" t="n">
        <x:v>24</x:v>
      </x:c>
      <x:c r="D5" s="4" t="n">
        <x:v>12</x:v>
      </x:c>
      <x:c r="E5" s="4" t="n">
        <x:v>10</x:v>
      </x:c>
      <x:c r="F5" s="4" t="n">
        <x:v>10</x:v>
      </x:c>
      <x:c r="G5" s="4" t="n">
        <x:v>4</x:v>
      </x:c>
      <x:c r="H5" s="4" t="n">
        <x:v>7</x:v>
      </x:c>
      <x:c r="I5" s="4" t="n">
        <x:f>SUM(C5:H5)</x:f>
        <x:v>67</x:v>
      </x:c>
      <x:c r="J5" s="4" t="str">
        <x:f>IF(I5&gt;=75,"S",IF(I5&gt;=60,"A",IF(I5&gt;=45,"B",IF(I5&gt;=30,"C","D"))))</x:f>
        <x:v>A</x:v>
      </x:c>
      <x:c r="K5" s="4" t="str">
        <x:v>Engine</x:v>
      </x:c>
      <x:c r="L5" s="4" t="str">
        <x:v>cargo motorcycle / cargo trimoto</x:v>
      </x:c>
      <x:c r="M5" s="4" t="str">
        <x:v>CG200 complete-engine listings and cargo-engine signal; channel and interface still require validation.</x:v>
      </x:c>
      <x:c r="N5" s="4" t="str">
        <x:v>P4-PE-05,P4-PE-06,P4-PE-08</x:v>
      </x:c>
      <x:c r="O5" s="4" t="str">
        <x:v>High</x:v>
      </x:c>
      <x:c r="P5" s="4" t="str">
        <x:v>Medium</x:v>
      </x:c>
      <x:c r="Q5" s="4" t="str">
        <x:v>Low</x:v>
      </x:c>
      <x:c r="R5" s="4" t="str">
        <x:v>MODEL-SPECIFIC</x:v>
      </x:c>
      <x:c r="S5" s="4" t="str">
        <x:v>ENGINE-V1</x:v>
      </x:c>
      <x:c r="T5" s="4" t="str">
        <x:v>INPUT REQUIRED</x:v>
      </x:c>
      <x:c r="U5" s="4" t="str">
        <x:f>IF(Q5="Low","VALIDATE FIT",IF(P5="Low","VALIDATE DEMAND",IF(T5="INPUT REQUIRED","VALIDATE ECONOMICS","READY FOR ADS REVIEW")))</x:f>
        <x:v>VALIDATE FIT</x:v>
      </x:c>
    </x:row>
    <x:row r="6">
      <x:c r="A6" s="4" t="str">
        <x:v>Peru</x:v>
      </x:c>
      <x:c r="B6" s="4" t="str">
        <x:v>CG250 air-cooled</x:v>
      </x:c>
      <x:c r="C6" s="4" t="n">
        <x:v>9</x:v>
      </x:c>
      <x:c r="D6" s="4" t="n">
        <x:v>3</x:v>
      </x:c>
      <x:c r="E6" s="4" t="n">
        <x:v>3</x:v>
      </x:c>
      <x:c r="F6" s="4" t="n">
        <x:v>3</x:v>
      </x:c>
      <x:c r="G6" s="4" t="n">
        <x:v>2</x:v>
      </x:c>
      <x:c r="H6" s="4" t="n">
        <x:v>4</x:v>
      </x:c>
      <x:c r="I6" s="4" t="n">
        <x:f>SUM(C6:H6)</x:f>
        <x:v>24</x:v>
      </x:c>
      <x:c r="J6" s="4" t="str">
        <x:f>IF(I6&gt;=75,"S",IF(I6&gt;=60,"A",IF(I6&gt;=45,"B",IF(I6&gt;=30,"C","D"))))</x:f>
        <x:v>D</x:v>
      </x:c>
      <x:c r="K6" s="4" t="str">
        <x:v>Engine</x:v>
      </x:c>
      <x:c r="L6" s="4" t="str">
        <x:v>NOT TESTED</x:v>
      </x:c>
      <x:c r="M6" s="4" t="str">
        <x:v>Cargo-engine signal only; research direction, not an interchangeable replacement claim.</x:v>
      </x:c>
      <x:c r="N6" s="4" t="str">
        <x:v>P4-PE-08</x:v>
      </x:c>
      <x:c r="O6" s="4" t="str">
        <x:v>Low</x:v>
      </x:c>
      <x:c r="P6" s="4" t="str">
        <x:v>Low</x:v>
      </x:c>
      <x:c r="Q6" s="4" t="str">
        <x:v>Low</x:v>
      </x:c>
      <x:c r="R6" s="4" t="str">
        <x:v>MODEL-SPECIFIC</x:v>
      </x:c>
      <x:c r="S6" s="4" t="str">
        <x:v>ENGINE-V1</x:v>
      </x:c>
      <x:c r="T6" s="4" t="str">
        <x:v>INPUT REQUIRED</x:v>
      </x:c>
      <x:c r="U6" s="4" t="str">
        <x:f>IF(Q6="Low","VALIDATE FIT",IF(P6="Low","VALIDATE DEMAND",IF(T6="INPUT REQUIRED","VALIDATE ECONOMICS","READY FOR ADS REVIEW")))</x:f>
        <x:v>VALIDATE FIT</x:v>
      </x:c>
    </x:row>
    <x:row r="7">
      <x:c r="A7" s="4" t="str">
        <x:v>Peru</x:v>
      </x:c>
      <x:c r="B7" s="4" t="str">
        <x:v>CG150-250 water-cooled cargo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0</x:v>
      </x:c>
      <x:c r="I7" s="4" t="n">
        <x:f>SUM(C7:H7)</x:f>
        <x:v>0</x:v>
      </x:c>
      <x:c r="J7" s="4" t="str">
        <x:f>IF(I7&gt;=75,"S",IF(I7&gt;=60,"A",IF(I7&gt;=45,"B",IF(I7&gt;=30,"C","D"))))</x:f>
        <x:v>D</x:v>
      </x:c>
      <x:c r="K7" s="4" t="str">
        <x:v>Engine</x:v>
      </x:c>
      <x:c r="L7" s="4" t="str">
        <x:v>NOT TESTED</x:v>
      </x:c>
      <x:c r="M7" s="4" t="str">
        <x:v>No product-specific country evidence; unscored commercial components remain zero.</x:v>
      </x:c>
      <x:c r="N7" s="4" t="str">
        <x:v>No product-specific evidence</x:v>
      </x:c>
      <x:c r="O7" s="4" t="str">
        <x:v>Low</x:v>
      </x:c>
      <x:c r="P7" s="4" t="str">
        <x:v>Low</x:v>
      </x:c>
      <x:c r="Q7" s="4" t="str">
        <x:v>Low</x:v>
      </x:c>
      <x:c r="R7" s="4" t="str">
        <x:v>MODEL-SPECIFIC</x:v>
      </x:c>
      <x:c r="S7" s="4" t="str">
        <x:v>ENGINE-V1</x:v>
      </x:c>
      <x:c r="T7" s="4" t="str">
        <x:v>INPUT REQUIRED</x:v>
      </x:c>
      <x:c r="U7" s="4" t="str">
        <x:f>IF(Q7="Low","VALIDATE FIT",IF(P7="Low","VALIDATE DEMAND",IF(T7="INPUT REQUIRED","VALIDATE ECONOMICS","READY FOR ADS REVIEW")))</x:f>
        <x:v>VALIDATE FIT</x:v>
      </x:c>
    </x:row>
    <x:row r="8">
      <x:c r="A8" s="4" t="str">
        <x:v>Peru</x:v>
      </x:c>
      <x:c r="B8" s="4" t="str">
        <x:v>Tsunami water-cooled / dual-cooled</x:v>
      </x:c>
      <x:c r="C8" s="4" t="n">
        <x:v>0</x:v>
      </x:c>
      <x:c r="D8" s="4" t="n">
        <x:v>0</x:v>
      </x:c>
      <x:c r="E8" s="4" t="n">
        <x:v>0</x:v>
      </x:c>
      <x:c r="F8" s="4" t="n">
        <x:v>0</x:v>
      </x:c>
      <x:c r="G8" s="4" t="n">
        <x:v>0</x:v>
      </x:c>
      <x:c r="H8" s="4" t="n">
        <x:v>0</x:v>
      </x:c>
      <x:c r="I8" s="4" t="n">
        <x:f>SUM(C8:H8)</x:f>
        <x:v>0</x:v>
      </x:c>
      <x:c r="J8" s="4" t="str">
        <x:f>IF(I8&gt;=75,"S",IF(I8&gt;=60,"A",IF(I8&gt;=45,"B",IF(I8&gt;=30,"C","D"))))</x:f>
        <x:v>D</x:v>
      </x:c>
      <x:c r="K8" s="4" t="str">
        <x:v>Engine</x:v>
      </x:c>
      <x:c r="L8" s="4" t="str">
        <x:v>NOT TESTED</x:v>
      </x:c>
      <x:c r="M8" s="4" t="str">
        <x:v>No product-specific country evidence; unscored commercial components remain zero.</x:v>
      </x:c>
      <x:c r="N8" s="4" t="str">
        <x:v>No product-specific evidence</x:v>
      </x:c>
      <x:c r="O8" s="4" t="str">
        <x:v>Low</x:v>
      </x:c>
      <x:c r="P8" s="4" t="str">
        <x:v>Low</x:v>
      </x:c>
      <x:c r="Q8" s="4" t="str">
        <x:v>Low</x:v>
      </x:c>
      <x:c r="R8" s="4" t="str">
        <x:v>MODEL-SPECIFIC</x:v>
      </x:c>
      <x:c r="S8" s="4" t="str">
        <x:v>ENGINE-V1</x:v>
      </x:c>
      <x:c r="T8" s="4" t="str">
        <x:v>INPUT REQUIRED</x:v>
      </x:c>
      <x:c r="U8" s="4" t="str">
        <x:f>IF(Q8="Low","VALIDATE FIT",IF(P8="Low","VALIDATE DEMAND",IF(T8="INPUT REQUIRED","VALIDATE ECONOMICS","READY FOR ADS REVIEW")))</x:f>
        <x:v>VALIDATE FIT</x:v>
      </x:c>
    </x:row>
    <x:row r="9">
      <x:c r="A9" s="4" t="str">
        <x:v>Peru</x:v>
      </x:c>
      <x:c r="B9" s="4" t="str">
        <x:v>Hanwei 200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  <x:c r="G9" s="4" t="n">
        <x:v>0</x:v>
      </x:c>
      <x:c r="H9" s="4" t="n">
        <x:v>0</x:v>
      </x:c>
      <x:c r="I9" s="4" t="n">
        <x:f>SUM(C9:H9)</x:f>
        <x:v>0</x:v>
      </x:c>
      <x:c r="J9" s="4" t="str">
        <x:f>IF(I9&gt;=75,"S",IF(I9&gt;=60,"A",IF(I9&gt;=45,"B",IF(I9&gt;=30,"C","D"))))</x:f>
        <x:v>D</x:v>
      </x:c>
      <x:c r="K9" s="4" t="str">
        <x:v>Engine</x:v>
      </x:c>
      <x:c r="L9" s="4" t="str">
        <x:v>NOT TESTED</x:v>
      </x:c>
      <x:c r="M9" s="4" t="str">
        <x:v>No product-specific country evidence; unscored commercial components remain zero.</x:v>
      </x:c>
      <x:c r="N9" s="4" t="str">
        <x:v>No product-specific evidence</x:v>
      </x:c>
      <x:c r="O9" s="4" t="str">
        <x:v>Low</x:v>
      </x:c>
      <x:c r="P9" s="4" t="str">
        <x:v>Low</x:v>
      </x:c>
      <x:c r="Q9" s="4" t="str">
        <x:v>Low</x:v>
      </x:c>
      <x:c r="R9" s="4" t="str">
        <x:v>MODEL-SPECIFIC</x:v>
      </x:c>
      <x:c r="S9" s="4" t="str">
        <x:v>ENGINE-V1</x:v>
      </x:c>
      <x:c r="T9" s="4" t="str">
        <x:v>INPUT REQUIRED</x:v>
      </x:c>
      <x:c r="U9" s="4" t="str">
        <x:f>IF(Q9="Low","VALIDATE FIT",IF(P9="Low","VALIDATE DEMAND",IF(T9="INPUT REQUIRED","VALIDATE ECONOMICS","READY FOR ADS REVIEW")))</x:f>
        <x:v>VALIDATE FIT</x:v>
      </x:c>
    </x:row>
    <x:row r="10">
      <x:c r="A10" s="4" t="str">
        <x:v>Peru</x:v>
      </x:c>
      <x:c r="B10" s="4" t="str">
        <x:v>Hanwei 250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f>SUM(C10:H10)</x:f>
        <x:v>0</x:v>
      </x:c>
      <x:c r="J10" s="4" t="str">
        <x:f>IF(I10&gt;=75,"S",IF(I10&gt;=60,"A",IF(I10&gt;=45,"B",IF(I10&gt;=30,"C","D"))))</x:f>
        <x:v>D</x:v>
      </x:c>
      <x:c r="K10" s="4" t="str">
        <x:v>Engine</x:v>
      </x:c>
      <x:c r="L10" s="4" t="str">
        <x:v>NOT TESTED</x:v>
      </x:c>
      <x:c r="M10" s="4" t="str">
        <x:v>No product-specific country evidence; unscored commercial components remain zero.</x:v>
      </x:c>
      <x:c r="N10" s="4" t="str">
        <x:v>No product-specific evidence</x:v>
      </x:c>
      <x:c r="O10" s="4" t="str">
        <x:v>Low</x:v>
      </x:c>
      <x:c r="P10" s="4" t="str">
        <x:v>Low</x:v>
      </x:c>
      <x:c r="Q10" s="4" t="str">
        <x:v>Low</x:v>
      </x:c>
      <x:c r="R10" s="4" t="str">
        <x:v>MODEL-SPECIFIC</x:v>
      </x:c>
      <x:c r="S10" s="4" t="str">
        <x:v>ENGINE-V1</x:v>
      </x:c>
      <x:c r="T10" s="4" t="str">
        <x:v>INPUT REQUIRED</x:v>
      </x:c>
      <x:c r="U10" s="4" t="str">
        <x:f>IF(Q10="Low","VALIDATE FIT",IF(P10="Low","VALIDATE DEMAND",IF(T10="INPUT REQUIRED","VALIDATE ECONOMICS","READY FOR ADS REVIEW")))</x:f>
        <x:v>VALIDATE FIT</x:v>
      </x:c>
    </x:row>
    <x:row r="11">
      <x:c r="A11" s="4" t="str">
        <x:v>Peru</x:v>
      </x:c>
      <x:c r="B11" s="4" t="str">
        <x:v>Hanwei 300</x:v>
      </x:c>
      <x:c r="C11" s="4" t="n">
        <x:v>0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f>SUM(C11:H11)</x:f>
        <x:v>0</x:v>
      </x:c>
      <x:c r="J11" s="4" t="str">
        <x:f>IF(I11&gt;=75,"S",IF(I11&gt;=60,"A",IF(I11&gt;=45,"B",IF(I11&gt;=30,"C","D"))))</x:f>
        <x:v>D</x:v>
      </x:c>
      <x:c r="K11" s="4" t="str">
        <x:v>Engine</x:v>
      </x:c>
      <x:c r="L11" s="4" t="str">
        <x:v>NOT TESTED</x:v>
      </x:c>
      <x:c r="M11" s="4" t="str">
        <x:v>No product-specific country evidence; unscored commercial components remain zero.</x:v>
      </x:c>
      <x:c r="N11" s="4" t="str">
        <x:v>No product-specific evidence</x:v>
      </x:c>
      <x:c r="O11" s="4" t="str">
        <x:v>Low</x:v>
      </x:c>
      <x:c r="P11" s="4" t="str">
        <x:v>Low</x:v>
      </x:c>
      <x:c r="Q11" s="4" t="str">
        <x:v>Low</x:v>
      </x:c>
      <x:c r="R11" s="4" t="str">
        <x:v>MODEL-SPECIFIC</x:v>
      </x:c>
      <x:c r="S11" s="4" t="str">
        <x:v>ENGINE-V1</x:v>
      </x:c>
      <x:c r="T11" s="4" t="str">
        <x:v>INPUT REQUIRED</x:v>
      </x:c>
      <x:c r="U11" s="4" t="str">
        <x:f>IF(Q11="Low","VALIDATE FIT",IF(P11="Low","VALIDATE DEMAND",IF(T11="INPUT REQUIRED","VALIDATE ECONOMICS","READY FOR ADS REVIEW")))</x:f>
        <x:v>VALIDATE FIT</x:v>
      </x:c>
    </x:row>
    <x:row r="12">
      <x:c r="A12" s="4" t="str">
        <x:v>Peru</x:v>
      </x:c>
      <x:c r="B12" s="4" t="str">
        <x:v>Hanwei 350</x:v>
      </x:c>
      <x:c r="C12" s="4" t="n">
        <x:v>0</x:v>
      </x:c>
      <x:c r="D12" s="4" t="n">
        <x:v>0</x:v>
      </x:c>
      <x:c r="E12" s="4" t="n">
        <x:v>0</x:v>
      </x:c>
      <x:c r="F12" s="4" t="n">
        <x:v>0</x:v>
      </x:c>
      <x:c r="G12" s="4" t="n">
        <x:v>0</x:v>
      </x:c>
      <x:c r="H12" s="4" t="n">
        <x:v>0</x:v>
      </x:c>
      <x:c r="I12" s="4" t="n">
        <x:f>SUM(C12:H12)</x:f>
        <x:v>0</x:v>
      </x:c>
      <x:c r="J12" s="4" t="str">
        <x:f>IF(I12&gt;=75,"S",IF(I12&gt;=60,"A",IF(I12&gt;=45,"B",IF(I12&gt;=30,"C","D"))))</x:f>
        <x:v>D</x:v>
      </x:c>
      <x:c r="K12" s="4" t="str">
        <x:v>Engine</x:v>
      </x:c>
      <x:c r="L12" s="4" t="str">
        <x:v>NOT TESTED</x:v>
      </x:c>
      <x:c r="M12" s="4" t="str">
        <x:v>No product-specific country evidence; unscored commercial components remain zero.</x:v>
      </x:c>
      <x:c r="N12" s="4" t="str">
        <x:v>No product-specific evidence</x:v>
      </x:c>
      <x:c r="O12" s="4" t="str">
        <x:v>Low</x:v>
      </x:c>
      <x:c r="P12" s="4" t="str">
        <x:v>Low</x:v>
      </x:c>
      <x:c r="Q12" s="4" t="str">
        <x:v>Low</x:v>
      </x:c>
      <x:c r="R12" s="4" t="str">
        <x:v>MODEL-SPECIFIC</x:v>
      </x:c>
      <x:c r="S12" s="4" t="str">
        <x:v>ENGINE-V1</x:v>
      </x:c>
      <x:c r="T12" s="4" t="str">
        <x:v>INPUT REQUIRED</x:v>
      </x:c>
      <x:c r="U12" s="4" t="str">
        <x:f>IF(Q12="Low","VALIDATE FIT",IF(P12="Low","VALIDATE DEMAND",IF(T12="INPUT REQUIRED","VALIDATE ECONOMICS","READY FOR ADS REVIEW")))</x:f>
        <x:v>VALIDATE FIT</x:v>
      </x:c>
    </x:row>
    <x:row r="13">
      <x:c r="A13" s="4" t="str">
        <x:v>Peru</x:v>
      </x:c>
      <x:c r="B13" s="4" t="str">
        <x:v>Honda-style 110 horizontal</x:v>
      </x:c>
      <x:c r="C13" s="4" t="n">
        <x:v>0</x:v>
      </x:c>
      <x:c r="D13" s="4" t="n">
        <x:v>0</x:v>
      </x:c>
      <x:c r="E13" s="4" t="n">
        <x:v>0</x:v>
      </x:c>
      <x:c r="F13" s="4" t="n">
        <x:v>0</x:v>
      </x:c>
      <x:c r="G13" s="4" t="n">
        <x:v>0</x:v>
      </x:c>
      <x:c r="H13" s="4" t="n">
        <x:v>0</x:v>
      </x:c>
      <x:c r="I13" s="4" t="n">
        <x:f>SUM(C13:H13)</x:f>
        <x:v>0</x:v>
      </x:c>
      <x:c r="J13" s="4" t="str">
        <x:f>IF(I13&gt;=75,"S",IF(I13&gt;=60,"A",IF(I13&gt;=45,"B",IF(I13&gt;=30,"C","D"))))</x:f>
        <x:v>D</x:v>
      </x:c>
      <x:c r="K13" s="4" t="str">
        <x:v>Engine</x:v>
      </x:c>
      <x:c r="L13" s="4" t="str">
        <x:v>NOT TESTED</x:v>
      </x:c>
      <x:c r="M13" s="4" t="str">
        <x:v>No product-specific country evidence; unscored commercial components remain zero.</x:v>
      </x:c>
      <x:c r="N13" s="4" t="str">
        <x:v>No product-specific evidence</x:v>
      </x:c>
      <x:c r="O13" s="4" t="str">
        <x:v>Low</x:v>
      </x:c>
      <x:c r="P13" s="4" t="str">
        <x:v>Low</x:v>
      </x:c>
      <x:c r="Q13" s="4" t="str">
        <x:v>Low</x:v>
      </x:c>
      <x:c r="R13" s="4" t="str">
        <x:v>MODEL-SPECIFIC</x:v>
      </x:c>
      <x:c r="S13" s="4" t="str">
        <x:v>ENGINE-V1</x:v>
      </x:c>
      <x:c r="T13" s="4" t="str">
        <x:v>INPUT REQUIRED</x:v>
      </x:c>
      <x:c r="U13" s="4" t="str">
        <x:f>IF(Q13="Low","VALIDATE FIT",IF(P13="Low","VALIDATE DEMAND",IF(T13="INPUT REQUIRED","VALIDATE ECONOMICS","READY FOR ADS REVIEW")))</x:f>
        <x:v>VALIDATE FIT</x:v>
      </x:c>
    </x:row>
    <x:row r="14">
      <x:c r="A14" s="4" t="str">
        <x:v>Peru</x:v>
      </x:c>
      <x:c r="B14" s="4" t="str">
        <x:v>Honda-style 125 horizontal</x:v>
      </x:c>
      <x:c r="C14" s="4" t="n">
        <x:v>0</x:v>
      </x:c>
      <x:c r="D14" s="4" t="n">
        <x:v>0</x:v>
      </x:c>
      <x:c r="E14" s="4" t="n">
        <x:v>0</x:v>
      </x:c>
      <x:c r="F14" s="4" t="n">
        <x:v>0</x:v>
      </x:c>
      <x:c r="G14" s="4" t="n">
        <x:v>0</x:v>
      </x:c>
      <x:c r="H14" s="4" t="n">
        <x:v>0</x:v>
      </x:c>
      <x:c r="I14" s="4" t="n">
        <x:f>SUM(C14:H14)</x:f>
        <x:v>0</x:v>
      </x:c>
      <x:c r="J14" s="4" t="str">
        <x:f>IF(I14&gt;=75,"S",IF(I14&gt;=60,"A",IF(I14&gt;=45,"B",IF(I14&gt;=30,"C","D"))))</x:f>
        <x:v>D</x:v>
      </x:c>
      <x:c r="K14" s="4" t="str">
        <x:v>Engine</x:v>
      </x:c>
      <x:c r="L14" s="4" t="str">
        <x:v>NOT TESTED</x:v>
      </x:c>
      <x:c r="M14" s="4" t="str">
        <x:v>No product-specific country evidence; unscored commercial components remain zero.</x:v>
      </x:c>
      <x:c r="N14" s="4" t="str">
        <x:v>No product-specific evidence</x:v>
      </x:c>
      <x:c r="O14" s="4" t="str">
        <x:v>Low</x:v>
      </x:c>
      <x:c r="P14" s="4" t="str">
        <x:v>Low</x:v>
      </x:c>
      <x:c r="Q14" s="4" t="str">
        <x:v>Low</x:v>
      </x:c>
      <x:c r="R14" s="4" t="str">
        <x:v>MODEL-SPECIFIC</x:v>
      </x:c>
      <x:c r="S14" s="4" t="str">
        <x:v>ENGINE-V1</x:v>
      </x:c>
      <x:c r="T14" s="4" t="str">
        <x:v>INPUT REQUIRED</x:v>
      </x:c>
      <x:c r="U14" s="4" t="str">
        <x:f>IF(Q14="Low","VALIDATE FIT",IF(P14="Low","VALIDATE DEMAND",IF(T14="INPUT REQUIRED","VALIDATE ECONOMICS","READY FOR ADS REVIEW")))</x:f>
        <x:v>VALIDATE FIT</x:v>
      </x:c>
    </x:row>
    <x:row r="15">
      <x:c r="A15" s="4" t="str">
        <x:v>Peru</x:v>
      </x:c>
      <x:c r="B15" s="4" t="str">
        <x:v>Honda-style 130/140 horizontal</x:v>
      </x:c>
      <x:c r="C15" s="4" t="n">
        <x:v>0</x:v>
      </x:c>
      <x:c r="D15" s="4" t="n">
        <x:v>0</x:v>
      </x:c>
      <x:c r="E15" s="4" t="n">
        <x:v>0</x:v>
      </x:c>
      <x:c r="F15" s="4" t="n">
        <x:v>0</x:v>
      </x:c>
      <x:c r="G15" s="4" t="n">
        <x:v>0</x:v>
      </x:c>
      <x:c r="H15" s="4" t="n">
        <x:v>0</x:v>
      </x:c>
      <x:c r="I15" s="4" t="n">
        <x:f>SUM(C15:H15)</x:f>
        <x:v>0</x:v>
      </x:c>
      <x:c r="J15" s="4" t="str">
        <x:f>IF(I15&gt;=75,"S",IF(I15&gt;=60,"A",IF(I15&gt;=45,"B",IF(I15&gt;=30,"C","D"))))</x:f>
        <x:v>D</x:v>
      </x:c>
      <x:c r="K15" s="4" t="str">
        <x:v>Engine</x:v>
      </x:c>
      <x:c r="L15" s="4" t="str">
        <x:v>NOT TESTED</x:v>
      </x:c>
      <x:c r="M15" s="4" t="str">
        <x:v>No product-specific country evidence; unscored commercial components remain zero.</x:v>
      </x:c>
      <x:c r="N15" s="4" t="str">
        <x:v>No product-specific evidence</x:v>
      </x:c>
      <x:c r="O15" s="4" t="str">
        <x:v>Low</x:v>
      </x:c>
      <x:c r="P15" s="4" t="str">
        <x:v>Low</x:v>
      </x:c>
      <x:c r="Q15" s="4" t="str">
        <x:v>Low</x:v>
      </x:c>
      <x:c r="R15" s="4" t="str">
        <x:v>MODEL-SPECIFIC</x:v>
      </x:c>
      <x:c r="S15" s="4" t="str">
        <x:v>ENGINE-V1</x:v>
      </x:c>
      <x:c r="T15" s="4" t="str">
        <x:v>INPUT REQUIRED</x:v>
      </x:c>
      <x:c r="U15" s="4" t="str">
        <x:f>IF(Q15="Low","VALIDATE FIT",IF(P15="Low","VALIDATE DEMAND",IF(T15="INPUT REQUIRED","VALIDATE ECONOMICS","READY FOR ADS REVIEW")))</x:f>
        <x:v>VALIDATE FIT</x:v>
      </x:c>
    </x:row>
    <x:row r="16">
      <x:c r="A16" s="4" t="str">
        <x:v>Peru</x:v>
      </x:c>
      <x:c r="B16" s="4" t="str">
        <x:v>Lower-mounted 140</x:v>
      </x:c>
      <x:c r="C16" s="4" t="n">
        <x:v>0</x:v>
      </x:c>
      <x:c r="D16" s="4" t="n">
        <x:v>0</x:v>
      </x:c>
      <x:c r="E16" s="4" t="n">
        <x:v>0</x:v>
      </x:c>
      <x:c r="F16" s="4" t="n">
        <x:v>0</x:v>
      </x:c>
      <x:c r="G16" s="4" t="n">
        <x:v>0</x:v>
      </x:c>
      <x:c r="H16" s="4" t="n">
        <x:v>0</x:v>
      </x:c>
      <x:c r="I16" s="4" t="n">
        <x:f>SUM(C16:H16)</x:f>
        <x:v>0</x:v>
      </x:c>
      <x:c r="J16" s="4" t="str">
        <x:f>IF(I16&gt;=75,"S",IF(I16&gt;=60,"A",IF(I16&gt;=45,"B",IF(I16&gt;=30,"C","D"))))</x:f>
        <x:v>D</x:v>
      </x:c>
      <x:c r="K16" s="4" t="str">
        <x:v>Engine</x:v>
      </x:c>
      <x:c r="L16" s="4" t="str">
        <x:v>NOT TESTED</x:v>
      </x:c>
      <x:c r="M16" s="4" t="str">
        <x:v>No product-specific country evidence; unscored commercial components remain zero.</x:v>
      </x:c>
      <x:c r="N16" s="4" t="str">
        <x:v>No product-specific evidence</x:v>
      </x:c>
      <x:c r="O16" s="4" t="str">
        <x:v>Low</x:v>
      </x:c>
      <x:c r="P16" s="4" t="str">
        <x:v>Low</x:v>
      </x:c>
      <x:c r="Q16" s="4" t="str">
        <x:v>Low</x:v>
      </x:c>
      <x:c r="R16" s="4" t="str">
        <x:v>MODEL-SPECIFIC</x:v>
      </x:c>
      <x:c r="S16" s="4" t="str">
        <x:v>ENGINE-V1</x:v>
      </x:c>
      <x:c r="T16" s="4" t="str">
        <x:v>INPUT REQUIRED</x:v>
      </x:c>
      <x:c r="U16" s="4" t="str">
        <x:f>IF(Q16="Low","VALIDATE FIT",IF(P16="Low","VALIDATE DEMAND",IF(T16="INPUT REQUIRED","VALIDATE ECONOMICS","READY FOR ADS REVIEW")))</x:f>
        <x:v>VALIDATE FIT</x:v>
      </x:c>
    </x:row>
    <x:row r="17">
      <x:c r="A17" s="4" t="str">
        <x:v>Peru</x:v>
      </x:c>
      <x:c r="B17" s="4" t="str">
        <x:v>Automatic-clutch CG</x:v>
      </x:c>
      <x:c r="C17" s="4" t="n">
        <x:v>0</x:v>
      </x:c>
      <x:c r="D17" s="4" t="n">
        <x:v>0</x:v>
      </x:c>
      <x:c r="E17" s="4" t="n">
        <x:v>0</x:v>
      </x:c>
      <x:c r="F17" s="4" t="n">
        <x:v>0</x:v>
      </x:c>
      <x:c r="G17" s="4" t="n">
        <x:v>0</x:v>
      </x:c>
      <x:c r="H17" s="4" t="n">
        <x:v>0</x:v>
      </x:c>
      <x:c r="I17" s="4" t="n">
        <x:f>SUM(C17:H17)</x:f>
        <x:v>0</x:v>
      </x:c>
      <x:c r="J17" s="4" t="str">
        <x:f>IF(I17&gt;=75,"S",IF(I17&gt;=60,"A",IF(I17&gt;=45,"B",IF(I17&gt;=30,"C","D"))))</x:f>
        <x:v>D</x:v>
      </x:c>
      <x:c r="K17" s="4" t="str">
        <x:v>Engine</x:v>
      </x:c>
      <x:c r="L17" s="4" t="str">
        <x:v>NOT TESTED</x:v>
      </x:c>
      <x:c r="M17" s="4" t="str">
        <x:v>No product-specific country evidence; unscored commercial components remain zero.</x:v>
      </x:c>
      <x:c r="N17" s="4" t="str">
        <x:v>No product-specific evidence</x:v>
      </x:c>
      <x:c r="O17" s="4" t="str">
        <x:v>Low</x:v>
      </x:c>
      <x:c r="P17" s="4" t="str">
        <x:v>Low</x:v>
      </x:c>
      <x:c r="Q17" s="4" t="str">
        <x:v>Low</x:v>
      </x:c>
      <x:c r="R17" s="4" t="str">
        <x:v>MODEL-SPECIFIC</x:v>
      </x:c>
      <x:c r="S17" s="4" t="str">
        <x:v>ENGINE-V1</x:v>
      </x:c>
      <x:c r="T17" s="4" t="str">
        <x:v>INPUT REQUIRED</x:v>
      </x:c>
      <x:c r="U17" s="4" t="str">
        <x:f>IF(Q17="Low","VALIDATE FIT",IF(P17="Low","VALIDATE DEMAND",IF(T17="INPUT REQUIRED","VALIDATE ECONOMICS","READY FOR ADS REVIEW")))</x:f>
        <x:v>VALIDATE FIT</x:v>
      </x:c>
    </x:row>
    <x:row r="18">
      <x:c r="A18" s="4" t="str">
        <x:v>Peru</x:v>
      </x:c>
      <x:c r="B18" s="4" t="str">
        <x:v>Automatic-clutch horizontal</x:v>
      </x:c>
      <x:c r="C18" s="4" t="n">
        <x:v>0</x:v>
      </x:c>
      <x:c r="D18" s="4" t="n">
        <x:v>0</x:v>
      </x:c>
      <x:c r="E18" s="4" t="n">
        <x:v>0</x:v>
      </x:c>
      <x:c r="F18" s="4" t="n">
        <x:v>0</x:v>
      </x:c>
      <x:c r="G18" s="4" t="n">
        <x:v>0</x:v>
      </x:c>
      <x:c r="H18" s="4" t="n">
        <x:v>0</x:v>
      </x:c>
      <x:c r="I18" s="4" t="n">
        <x:f>SUM(C18:H18)</x:f>
        <x:v>0</x:v>
      </x:c>
      <x:c r="J18" s="4" t="str">
        <x:f>IF(I18&gt;=75,"S",IF(I18&gt;=60,"A",IF(I18&gt;=45,"B",IF(I18&gt;=30,"C","D"))))</x:f>
        <x:v>D</x:v>
      </x:c>
      <x:c r="K18" s="4" t="str">
        <x:v>Engine</x:v>
      </x:c>
      <x:c r="L18" s="4" t="str">
        <x:v>NOT TESTED</x:v>
      </x:c>
      <x:c r="M18" s="4" t="str">
        <x:v>No product-specific country evidence; unscored commercial components remain zero.</x:v>
      </x:c>
      <x:c r="N18" s="4" t="str">
        <x:v>No product-specific evidence</x:v>
      </x:c>
      <x:c r="O18" s="4" t="str">
        <x:v>Low</x:v>
      </x:c>
      <x:c r="P18" s="4" t="str">
        <x:v>Low</x:v>
      </x:c>
      <x:c r="Q18" s="4" t="str">
        <x:v>Low</x:v>
      </x:c>
      <x:c r="R18" s="4" t="str">
        <x:v>MODEL-SPECIFIC</x:v>
      </x:c>
      <x:c r="S18" s="4" t="str">
        <x:v>ENGINE-V1</x:v>
      </x:c>
      <x:c r="T18" s="4" t="str">
        <x:v>INPUT REQUIRED</x:v>
      </x:c>
      <x:c r="U18" s="4" t="str">
        <x:f>IF(Q18="Low","VALIDATE FIT",IF(P18="Low","VALIDATE DEMAND",IF(T18="INPUT REQUIRED","VALIDATE ECONOMICS","READY FOR ADS REVIEW")))</x:f>
        <x:v>VALIDATE FIT</x:v>
      </x:c>
    </x:row>
    <x:row r="19">
      <x:c r="A19" s="4" t="str">
        <x:v>Peru</x:v>
      </x:c>
      <x:c r="B19" s="4" t="str">
        <x:v>CB150/200/250 off-road</x:v>
      </x:c>
      <x:c r="C19" s="4" t="n">
        <x:v>0</x:v>
      </x:c>
      <x:c r="D19" s="4" t="n">
        <x:v>0</x:v>
      </x:c>
      <x:c r="E19" s="4" t="n">
        <x:v>0</x:v>
      </x:c>
      <x:c r="F19" s="4" t="n">
        <x:v>0</x:v>
      </x:c>
      <x:c r="G19" s="4" t="n">
        <x:v>0</x:v>
      </x:c>
      <x:c r="H19" s="4" t="n">
        <x:v>0</x:v>
      </x:c>
      <x:c r="I19" s="4" t="n">
        <x:f>SUM(C19:H19)</x:f>
        <x:v>0</x:v>
      </x:c>
      <x:c r="J19" s="4" t="str">
        <x:f>IF(I19&gt;=75,"S",IF(I19&gt;=60,"A",IF(I19&gt;=45,"B",IF(I19&gt;=30,"C","D"))))</x:f>
        <x:v>D</x:v>
      </x:c>
      <x:c r="K19" s="4" t="str">
        <x:v>Engine</x:v>
      </x:c>
      <x:c r="L19" s="4" t="str">
        <x:v>NOT TESTED</x:v>
      </x:c>
      <x:c r="M19" s="4" t="str">
        <x:v>No product-specific country evidence; unscored commercial components remain zero.</x:v>
      </x:c>
      <x:c r="N19" s="4" t="str">
        <x:v>No product-specific evidence</x:v>
      </x:c>
      <x:c r="O19" s="4" t="str">
        <x:v>Low</x:v>
      </x:c>
      <x:c r="P19" s="4" t="str">
        <x:v>Low</x:v>
      </x:c>
      <x:c r="Q19" s="4" t="str">
        <x:v>Low</x:v>
      </x:c>
      <x:c r="R19" s="4" t="str">
        <x:v>MODEL-SPECIFIC</x:v>
      </x:c>
      <x:c r="S19" s="4" t="str">
        <x:v>ENGINE-V1</x:v>
      </x:c>
      <x:c r="T19" s="4" t="str">
        <x:v>INPUT REQUIRED</x:v>
      </x:c>
      <x:c r="U19" s="4" t="str">
        <x:f>IF(Q19="Low","VALIDATE FIT",IF(P19="Low","VALIDATE DEMAND",IF(T19="INPUT REQUIRED","VALIDATE ECONOMICS","READY FOR ADS REVIEW")))</x:f>
        <x:v>VALIDATE FIT</x:v>
      </x:c>
    </x:row>
    <x:row r="20">
      <x:c r="A20" s="4" t="str">
        <x:v>Peru</x:v>
      </x:c>
      <x:c r="B20" s="4" t="str">
        <x:v>EFI water-cooled</x:v>
      </x:c>
      <x:c r="C20" s="4" t="n">
        <x:v>0</x:v>
      </x:c>
      <x:c r="D20" s="4" t="n">
        <x:v>0</x:v>
      </x:c>
      <x:c r="E20" s="4" t="n">
        <x:v>0</x:v>
      </x:c>
      <x:c r="F20" s="4" t="n">
        <x:v>0</x:v>
      </x:c>
      <x:c r="G20" s="4" t="n">
        <x:v>0</x:v>
      </x:c>
      <x:c r="H20" s="4" t="n">
        <x:v>0</x:v>
      </x:c>
      <x:c r="I20" s="4" t="n">
        <x:f>SUM(C20:H20)</x:f>
        <x:v>0</x:v>
      </x:c>
      <x:c r="J20" s="4" t="str">
        <x:f>IF(I20&gt;=75,"S",IF(I20&gt;=60,"A",IF(I20&gt;=45,"B",IF(I20&gt;=30,"C","D"))))</x:f>
        <x:v>D</x:v>
      </x:c>
      <x:c r="K20" s="4" t="str">
        <x:v>Engine</x:v>
      </x:c>
      <x:c r="L20" s="4" t="str">
        <x:v>NOT TESTED</x:v>
      </x:c>
      <x:c r="M20" s="4" t="str">
        <x:v>No product-specific country evidence; unscored commercial components remain zero.</x:v>
      </x:c>
      <x:c r="N20" s="4" t="str">
        <x:v>No product-specific evidence</x:v>
      </x:c>
      <x:c r="O20" s="4" t="str">
        <x:v>Low</x:v>
      </x:c>
      <x:c r="P20" s="4" t="str">
        <x:v>Low</x:v>
      </x:c>
      <x:c r="Q20" s="4" t="str">
        <x:v>Low</x:v>
      </x:c>
      <x:c r="R20" s="4" t="str">
        <x:v>MODEL-SPECIFIC</x:v>
      </x:c>
      <x:c r="S20" s="4" t="str">
        <x:v>ENGINE-V1</x:v>
      </x:c>
      <x:c r="T20" s="4" t="str">
        <x:v>INPUT REQUIRED</x:v>
      </x:c>
      <x:c r="U20" s="4" t="str">
        <x:f>IF(Q20="Low","VALIDATE FIT",IF(P20="Low","VALIDATE DEMAND",IF(T20="INPUT REQUIRED","VALIDATE ECONOMICS","READY FOR ADS REVIEW")))</x:f>
        <x:v>VALIDATE FIT</x:v>
      </x:c>
    </x:row>
    <x:row r="21">
      <x:c r="A21" s="4" t="str">
        <x:v>Peru</x:v>
      </x:c>
      <x:c r="B21" s="4" t="str">
        <x:v>Engine parts / spares pack</x:v>
      </x:c>
      <x:c r="C21" s="4" t="n">
        <x:v>24</x:v>
      </x:c>
      <x:c r="D21" s="4" t="n">
        <x:v>0</x:v>
      </x:c>
      <x:c r="E21" s="4" t="n">
        <x:v>12</x:v>
      </x:c>
      <x:c r="F21" s="4" t="n">
        <x:v>8</x:v>
      </x:c>
      <x:c r="G21" s="4" t="n">
        <x:v>5</x:v>
      </x:c>
      <x:c r="H21" s="4" t="n">
        <x:v>8</x:v>
      </x:c>
      <x:c r="I21" s="4" t="n">
        <x:f>SUM(C21:H21)</x:f>
        <x:v>57</x:v>
      </x:c>
      <x:c r="J21" s="4" t="str">
        <x:f>IF(I21&gt;=75,"S",IF(I21&gt;=60,"A",IF(I21&gt;=45,"B",IF(I21&gt;=30,"C","D"))))</x:f>
        <x:v>B</x:v>
      </x:c>
      <x:c r="K21" s="4" t="str">
        <x:v>Aftermarket / parts</x:v>
      </x:c>
      <x:c r="L21" s="4" t="str">
        <x:v>after-sales workshop / wholesaler</x:v>
      </x:c>
      <x:c r="M21" s="4" t="str">
        <x:v>Wholesale catalogue covers CG125/150/200/250 parts; tracked under an aftermarket model.</x:v>
      </x:c>
      <x:c r="N21" s="4" t="str">
        <x:v>P4-PE-04</x:v>
      </x:c>
      <x:c r="O21" s="4" t="str">
        <x:v>High</x:v>
      </x:c>
      <x:c r="P21" s="4" t="str">
        <x:v>Not applicable</x:v>
      </x:c>
      <x:c r="Q21" s="4" t="str">
        <x:v>Not applicable</x:v>
      </x:c>
      <x:c r="R21" s="4" t="str">
        <x:v>PART-NUMBER-SPECIFIC</x:v>
      </x:c>
      <x:c r="S21" s="4" t="str">
        <x:v>AFTERMARKET-V1</x:v>
      </x:c>
      <x:c r="T21" s="4" t="str">
        <x:v>INPUT REQUIRED</x:v>
      </x:c>
      <x:c r="U21" s="4" t="str">
        <x:f>IF(Q21="Low","VALIDATE FIT",IF(P21="Low","VALIDATE DEMAND",IF(T21="INPUT REQUIRED","VALIDATE ECONOMICS","READY FOR ADS REVIEW")))</x:f>
        <x:v>VALIDATE ECONOMICS</x:v>
      </x:c>
    </x:row>
    <x:row r="22">
      <x:c r="A22" s="4" t="str">
        <x:v>Uzbekistan</x:v>
      </x:c>
      <x:c r="B22" s="4" t="str">
        <x:v>CG125 air-cooled</x:v>
      </x:c>
      <x:c r="C22" s="4" t="n">
        <x:v>0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4" t="n">
        <x:v>0</x:v>
      </x:c>
      <x:c r="I22" s="4" t="n">
        <x:f>SUM(C22:H22)</x:f>
        <x:v>0</x:v>
      </x:c>
      <x:c r="J22" s="4" t="str">
        <x:f>IF(I22&gt;=75,"S",IF(I22&gt;=60,"A",IF(I22&gt;=45,"B",IF(I22&gt;=30,"C","D"))))</x:f>
        <x:v>D</x:v>
      </x:c>
      <x:c r="K22" s="4" t="str">
        <x:v>Engine</x:v>
      </x:c>
      <x:c r="L22" s="4" t="str">
        <x:v>NOT TESTED</x:v>
      </x:c>
      <x:c r="M22" s="4" t="str">
        <x:v>No product-specific country evidence; unscored commercial components remain zero.</x:v>
      </x:c>
      <x:c r="N22" s="4" t="str">
        <x:v>No product-specific evidence</x:v>
      </x:c>
      <x:c r="O22" s="4" t="str">
        <x:v>Low</x:v>
      </x:c>
      <x:c r="P22" s="4" t="str">
        <x:v>Low</x:v>
      </x:c>
      <x:c r="Q22" s="4" t="str">
        <x:v>Low</x:v>
      </x:c>
      <x:c r="R22" s="4" t="str">
        <x:v>MODEL-SPECIFIC</x:v>
      </x:c>
      <x:c r="S22" s="4" t="str">
        <x:v>ENGINE-V1</x:v>
      </x:c>
      <x:c r="T22" s="4" t="str">
        <x:v>INPUT REQUIRED</x:v>
      </x:c>
      <x:c r="U22" s="4" t="str">
        <x:f>IF(Q22="Low","VALIDATE FIT",IF(P22="Low","VALIDATE DEMAND",IF(T22="INPUT REQUIRED","VALIDATE ECONOMICS","READY FOR ADS REVIEW")))</x:f>
        <x:v>VALIDATE FIT</x:v>
      </x:c>
    </x:row>
    <x:row r="23">
      <x:c r="A23" s="4" t="str">
        <x:v>Uzbekistan</x:v>
      </x:c>
      <x:c r="B23" s="4" t="str">
        <x:v>CG150 air-cooled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0</x:v>
      </x:c>
      <x:c r="I23" s="4" t="n">
        <x:f>SUM(C23:H23)</x:f>
        <x:v>0</x:v>
      </x:c>
      <x:c r="J23" s="4" t="str">
        <x:f>IF(I23&gt;=75,"S",IF(I23&gt;=60,"A",IF(I23&gt;=45,"B",IF(I23&gt;=30,"C","D"))))</x:f>
        <x:v>D</x:v>
      </x:c>
      <x:c r="K23" s="4" t="str">
        <x:v>Engine</x:v>
      </x:c>
      <x:c r="L23" s="4" t="str">
        <x:v>NOT TESTED</x:v>
      </x:c>
      <x:c r="M23" s="4" t="str">
        <x:v>No product-specific country evidence; unscored commercial components remain zero.</x:v>
      </x:c>
      <x:c r="N23" s="4" t="str">
        <x:v>No product-specific evidence</x:v>
      </x:c>
      <x:c r="O23" s="4" t="str">
        <x:v>Low</x:v>
      </x:c>
      <x:c r="P23" s="4" t="str">
        <x:v>Low</x:v>
      </x:c>
      <x:c r="Q23" s="4" t="str">
        <x:v>Low</x:v>
      </x:c>
      <x:c r="R23" s="4" t="str">
        <x:v>MODEL-SPECIFIC</x:v>
      </x:c>
      <x:c r="S23" s="4" t="str">
        <x:v>ENGINE-V1</x:v>
      </x:c>
      <x:c r="T23" s="4" t="str">
        <x:v>INPUT REQUIRED</x:v>
      </x:c>
      <x:c r="U23" s="4" t="str">
        <x:f>IF(Q23="Low","VALIDATE FIT",IF(P23="Low","VALIDATE DEMAND",IF(T23="INPUT REQUIRED","VALIDATE ECONOMICS","READY FOR ADS REVIEW")))</x:f>
        <x:v>VALIDATE FIT</x:v>
      </x:c>
    </x:row>
    <x:row r="24">
      <x:c r="A24" s="4" t="str">
        <x:v>Uzbekistan</x:v>
      </x:c>
      <x:c r="B24" s="4" t="str">
        <x:v>CG175 air-cooled</x:v>
      </x:c>
      <x:c r="C24" s="4" t="n">
        <x:v>0</x:v>
      </x:c>
      <x:c r="D24" s="4" t="n">
        <x:v>0</x:v>
      </x:c>
      <x:c r="E24" s="4" t="n">
        <x:v>0</x:v>
      </x:c>
      <x:c r="F24" s="4" t="n">
        <x:v>0</x:v>
      </x:c>
      <x:c r="G24" s="4" t="n">
        <x:v>0</x:v>
      </x:c>
      <x:c r="H24" s="4" t="n">
        <x:v>0</x:v>
      </x:c>
      <x:c r="I24" s="4" t="n">
        <x:f>SUM(C24:H24)</x:f>
        <x:v>0</x:v>
      </x:c>
      <x:c r="J24" s="4" t="str">
        <x:f>IF(I24&gt;=75,"S",IF(I24&gt;=60,"A",IF(I24&gt;=45,"B",IF(I24&gt;=30,"C","D"))))</x:f>
        <x:v>D</x:v>
      </x:c>
      <x:c r="K24" s="4" t="str">
        <x:v>Engine</x:v>
      </x:c>
      <x:c r="L24" s="4" t="str">
        <x:v>NOT TESTED</x:v>
      </x:c>
      <x:c r="M24" s="4" t="str">
        <x:v>No product-specific country evidence; unscored commercial components remain zero.</x:v>
      </x:c>
      <x:c r="N24" s="4" t="str">
        <x:v>No product-specific evidence</x:v>
      </x:c>
      <x:c r="O24" s="4" t="str">
        <x:v>Low</x:v>
      </x:c>
      <x:c r="P24" s="4" t="str">
        <x:v>Low</x:v>
      </x:c>
      <x:c r="Q24" s="4" t="str">
        <x:v>Low</x:v>
      </x:c>
      <x:c r="R24" s="4" t="str">
        <x:v>MODEL-SPECIFIC</x:v>
      </x:c>
      <x:c r="S24" s="4" t="str">
        <x:v>ENGINE-V1</x:v>
      </x:c>
      <x:c r="T24" s="4" t="str">
        <x:v>INPUT REQUIRED</x:v>
      </x:c>
      <x:c r="U24" s="4" t="str">
        <x:f>IF(Q24="Low","VALIDATE FIT",IF(P24="Low","VALIDATE DEMAND",IF(T24="INPUT REQUIRED","VALIDATE ECONOMICS","READY FOR ADS REVIEW")))</x:f>
        <x:v>VALIDATE FIT</x:v>
      </x:c>
    </x:row>
    <x:row r="25">
      <x:c r="A25" s="4" t="str">
        <x:v>Uzbekistan</x:v>
      </x:c>
      <x:c r="B25" s="4" t="str">
        <x:v>CG200 air-cooled</x:v>
      </x:c>
      <x:c r="C25" s="4" t="n">
        <x:v>0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0</x:v>
      </x:c>
      <x:c r="I25" s="4" t="n">
        <x:f>SUM(C25:H25)</x:f>
        <x:v>0</x:v>
      </x:c>
      <x:c r="J25" s="4" t="str">
        <x:f>IF(I25&gt;=75,"S",IF(I25&gt;=60,"A",IF(I25&gt;=45,"B",IF(I25&gt;=30,"C","D"))))</x:f>
        <x:v>D</x:v>
      </x:c>
      <x:c r="K25" s="4" t="str">
        <x:v>Engine</x:v>
      </x:c>
      <x:c r="L25" s="4" t="str">
        <x:v>NOT TESTED</x:v>
      </x:c>
      <x:c r="M25" s="4" t="str">
        <x:v>No product-specific country evidence; unscored commercial components remain zero.</x:v>
      </x:c>
      <x:c r="N25" s="4" t="str">
        <x:v>No product-specific evidence</x:v>
      </x:c>
      <x:c r="O25" s="4" t="str">
        <x:v>Low</x:v>
      </x:c>
      <x:c r="P25" s="4" t="str">
        <x:v>Low</x:v>
      </x:c>
      <x:c r="Q25" s="4" t="str">
        <x:v>Low</x:v>
      </x:c>
      <x:c r="R25" s="4" t="str">
        <x:v>MODEL-SPECIFIC</x:v>
      </x:c>
      <x:c r="S25" s="4" t="str">
        <x:v>ENGINE-V1</x:v>
      </x:c>
      <x:c r="T25" s="4" t="str">
        <x:v>INPUT REQUIRED</x:v>
      </x:c>
      <x:c r="U25" s="4" t="str">
        <x:f>IF(Q25="Low","VALIDATE FIT",IF(P25="Low","VALIDATE DEMAND",IF(T25="INPUT REQUIRED","VALIDATE ECONOMICS","READY FOR ADS REVIEW")))</x:f>
        <x:v>VALIDATE FIT</x:v>
      </x:c>
    </x:row>
    <x:row r="26">
      <x:c r="A26" s="4" t="str">
        <x:v>Uzbekistan</x:v>
      </x:c>
      <x:c r="B26" s="4" t="str">
        <x:v>CG250 air-cooled</x:v>
      </x:c>
      <x:c r="C26" s="4" t="n">
        <x:v>0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0</x:v>
      </x:c>
      <x:c r="I26" s="4" t="n">
        <x:f>SUM(C26:H26)</x:f>
        <x:v>0</x:v>
      </x:c>
      <x:c r="J26" s="4" t="str">
        <x:f>IF(I26&gt;=75,"S",IF(I26&gt;=60,"A",IF(I26&gt;=45,"B",IF(I26&gt;=30,"C","D"))))</x:f>
        <x:v>D</x:v>
      </x:c>
      <x:c r="K26" s="4" t="str">
        <x:v>Engine</x:v>
      </x:c>
      <x:c r="L26" s="4" t="str">
        <x:v>NOT TESTED</x:v>
      </x:c>
      <x:c r="M26" s="4" t="str">
        <x:v>No product-specific country evidence; unscored commercial components remain zero.</x:v>
      </x:c>
      <x:c r="N26" s="4" t="str">
        <x:v>No product-specific evidence</x:v>
      </x:c>
      <x:c r="O26" s="4" t="str">
        <x:v>Low</x:v>
      </x:c>
      <x:c r="P26" s="4" t="str">
        <x:v>Low</x:v>
      </x:c>
      <x:c r="Q26" s="4" t="str">
        <x:v>Low</x:v>
      </x:c>
      <x:c r="R26" s="4" t="str">
        <x:v>MODEL-SPECIFIC</x:v>
      </x:c>
      <x:c r="S26" s="4" t="str">
        <x:v>ENGINE-V1</x:v>
      </x:c>
      <x:c r="T26" s="4" t="str">
        <x:v>INPUT REQUIRED</x:v>
      </x:c>
      <x:c r="U26" s="4" t="str">
        <x:f>IF(Q26="Low","VALIDATE FIT",IF(P26="Low","VALIDATE DEMAND",IF(T26="INPUT REQUIRED","VALIDATE ECONOMICS","READY FOR ADS REVIEW")))</x:f>
        <x:v>VALIDATE FIT</x:v>
      </x:c>
    </x:row>
    <x:row r="27">
      <x:c r="A27" s="4" t="str">
        <x:v>Uzbekistan</x:v>
      </x:c>
      <x:c r="B27" s="4" t="str">
        <x:v>CG150-250 water-cooled cargo</x:v>
      </x:c>
      <x:c r="C27" s="4" t="n">
        <x:v>22</x:v>
      </x:c>
      <x:c r="D27" s="4" t="n">
        <x:v>3</x:v>
      </x:c>
      <x:c r="E27" s="4" t="n">
        <x:v>10</x:v>
      </x:c>
      <x:c r="F27" s="4" t="n">
        <x:v>9</x:v>
      </x:c>
      <x:c r="G27" s="4" t="n">
        <x:v>3</x:v>
      </x:c>
      <x:c r="H27" s="4" t="n">
        <x:v>6</x:v>
      </x:c>
      <x:c r="I27" s="4" t="n">
        <x:f>SUM(C27:H27)</x:f>
        <x:v>53</x:v>
      </x:c>
      <x:c r="J27" s="4" t="str">
        <x:f>IF(I27&gt;=75,"S",IF(I27&gt;=60,"A",IF(I27&gt;=45,"B",IF(I27&gt;=30,"C","D"))))</x:f>
        <x:v>B</x:v>
      </x:c>
      <x:c r="K27" s="4" t="str">
        <x:v>Engine</x:v>
      </x:c>
      <x:c r="L27" s="4" t="str">
        <x:v>250 cc cargo tricycle</x:v>
      </x:c>
      <x:c r="M27" s="4" t="str">
        <x:v>Repeated water-cooled 250 cargo-tricycle vehicle listings; no independent engine replacement proof or fit confirmation.</x:v>
      </x:c>
      <x:c r="N27" s="4" t="str">
        <x:v>P4-UZ-01,P4-UZ-02,P4-UZ-05</x:v>
      </x:c>
      <x:c r="O27" s="4" t="str">
        <x:v>Medium</x:v>
      </x:c>
      <x:c r="P27" s="4" t="str">
        <x:v>Low</x:v>
      </x:c>
      <x:c r="Q27" s="4" t="str">
        <x:v>Low</x:v>
      </x:c>
      <x:c r="R27" s="4" t="str">
        <x:v>MODEL-SPECIFIC</x:v>
      </x:c>
      <x:c r="S27" s="4" t="str">
        <x:v>ENGINE-V1</x:v>
      </x:c>
      <x:c r="T27" s="4" t="str">
        <x:v>INPUT REQUIRED</x:v>
      </x:c>
      <x:c r="U27" s="4" t="str">
        <x:f>IF(Q27="Low","VALIDATE FIT",IF(P27="Low","VALIDATE DEMAND",IF(T27="INPUT REQUIRED","VALIDATE ECONOMICS","READY FOR ADS REVIEW")))</x:f>
        <x:v>VALIDATE FIT</x:v>
      </x:c>
    </x:row>
    <x:row r="28">
      <x:c r="A28" s="4" t="str">
        <x:v>Uzbekistan</x:v>
      </x:c>
      <x:c r="B28" s="4" t="str">
        <x:v>Tsunami water-cooled / dual-cooled</x:v>
      </x:c>
      <x:c r="C28" s="4" t="n">
        <x:v>0</x:v>
      </x:c>
      <x:c r="D28" s="4" t="n">
        <x:v>0</x:v>
      </x:c>
      <x:c r="E28" s="4" t="n">
        <x:v>0</x:v>
      </x:c>
      <x:c r="F28" s="4" t="n">
        <x:v>0</x:v>
      </x:c>
      <x:c r="G28" s="4" t="n">
        <x:v>0</x:v>
      </x:c>
      <x:c r="H28" s="4" t="n">
        <x:v>0</x:v>
      </x:c>
      <x:c r="I28" s="4" t="n">
        <x:f>SUM(C28:H28)</x:f>
        <x:v>0</x:v>
      </x:c>
      <x:c r="J28" s="4" t="str">
        <x:f>IF(I28&gt;=75,"S",IF(I28&gt;=60,"A",IF(I28&gt;=45,"B",IF(I28&gt;=30,"C","D"))))</x:f>
        <x:v>D</x:v>
      </x:c>
      <x:c r="K28" s="4" t="str">
        <x:v>Engine</x:v>
      </x:c>
      <x:c r="L28" s="4" t="str">
        <x:v>NOT TESTED</x:v>
      </x:c>
      <x:c r="M28" s="4" t="str">
        <x:v>No product-specific country evidence; unscored commercial components remain zero.</x:v>
      </x:c>
      <x:c r="N28" s="4" t="str">
        <x:v>No product-specific evidence</x:v>
      </x:c>
      <x:c r="O28" s="4" t="str">
        <x:v>Low</x:v>
      </x:c>
      <x:c r="P28" s="4" t="str">
        <x:v>Low</x:v>
      </x:c>
      <x:c r="Q28" s="4" t="str">
        <x:v>Low</x:v>
      </x:c>
      <x:c r="R28" s="4" t="str">
        <x:v>MODEL-SPECIFIC</x:v>
      </x:c>
      <x:c r="S28" s="4" t="str">
        <x:v>ENGINE-V1</x:v>
      </x:c>
      <x:c r="T28" s="4" t="str">
        <x:v>INPUT REQUIRED</x:v>
      </x:c>
      <x:c r="U28" s="4" t="str">
        <x:f>IF(Q28="Low","VALIDATE FIT",IF(P28="Low","VALIDATE DEMAND",IF(T28="INPUT REQUIRED","VALIDATE ECONOMICS","READY FOR ADS REVIEW")))</x:f>
        <x:v>VALIDATE FIT</x:v>
      </x:c>
    </x:row>
    <x:row r="29">
      <x:c r="A29" s="4" t="str">
        <x:v>Uzbekistan</x:v>
      </x:c>
      <x:c r="B29" s="4" t="str">
        <x:v>Hanwei 200</x:v>
      </x:c>
      <x:c r="C29" s="4" t="n">
        <x:v>0</x:v>
      </x:c>
      <x:c r="D29" s="4" t="n">
        <x:v>0</x:v>
      </x:c>
      <x:c r="E29" s="4" t="n">
        <x:v>0</x:v>
      </x:c>
      <x:c r="F29" s="4" t="n">
        <x:v>0</x:v>
      </x:c>
      <x:c r="G29" s="4" t="n">
        <x:v>0</x:v>
      </x:c>
      <x:c r="H29" s="4" t="n">
        <x:v>0</x:v>
      </x:c>
      <x:c r="I29" s="4" t="n">
        <x:f>SUM(C29:H29)</x:f>
        <x:v>0</x:v>
      </x:c>
      <x:c r="J29" s="4" t="str">
        <x:f>IF(I29&gt;=75,"S",IF(I29&gt;=60,"A",IF(I29&gt;=45,"B",IF(I29&gt;=30,"C","D"))))</x:f>
        <x:v>D</x:v>
      </x:c>
      <x:c r="K29" s="4" t="str">
        <x:v>Engine</x:v>
      </x:c>
      <x:c r="L29" s="4" t="str">
        <x:v>NOT TESTED</x:v>
      </x:c>
      <x:c r="M29" s="4" t="str">
        <x:v>No product-specific country evidence; unscored commercial components remain zero.</x:v>
      </x:c>
      <x:c r="N29" s="4" t="str">
        <x:v>No product-specific evidence</x:v>
      </x:c>
      <x:c r="O29" s="4" t="str">
        <x:v>Low</x:v>
      </x:c>
      <x:c r="P29" s="4" t="str">
        <x:v>Low</x:v>
      </x:c>
      <x:c r="Q29" s="4" t="str">
        <x:v>Low</x:v>
      </x:c>
      <x:c r="R29" s="4" t="str">
        <x:v>MODEL-SPECIFIC</x:v>
      </x:c>
      <x:c r="S29" s="4" t="str">
        <x:v>ENGINE-V1</x:v>
      </x:c>
      <x:c r="T29" s="4" t="str">
        <x:v>INPUT REQUIRED</x:v>
      </x:c>
      <x:c r="U29" s="4" t="str">
        <x:f>IF(Q29="Low","VALIDATE FIT",IF(P29="Low","VALIDATE DEMAND",IF(T29="INPUT REQUIRED","VALIDATE ECONOMICS","READY FOR ADS REVIEW")))</x:f>
        <x:v>VALIDATE FIT</x:v>
      </x:c>
    </x:row>
    <x:row r="30">
      <x:c r="A30" s="4" t="str">
        <x:v>Uzbekistan</x:v>
      </x:c>
      <x:c r="B30" s="4" t="str">
        <x:v>Hanwei 250</x:v>
      </x:c>
      <x:c r="C30" s="4" t="n">
        <x:v>0</x:v>
      </x:c>
      <x:c r="D30" s="4" t="n">
        <x:v>0</x:v>
      </x:c>
      <x:c r="E30" s="4" t="n">
        <x:v>0</x:v>
      </x:c>
      <x:c r="F30" s="4" t="n">
        <x:v>0</x:v>
      </x:c>
      <x:c r="G30" s="4" t="n">
        <x:v>0</x:v>
      </x:c>
      <x:c r="H30" s="4" t="n">
        <x:v>0</x:v>
      </x:c>
      <x:c r="I30" s="4" t="n">
        <x:f>SUM(C30:H30)</x:f>
        <x:v>0</x:v>
      </x:c>
      <x:c r="J30" s="4" t="str">
        <x:f>IF(I30&gt;=75,"S",IF(I30&gt;=60,"A",IF(I30&gt;=45,"B",IF(I30&gt;=30,"C","D"))))</x:f>
        <x:v>D</x:v>
      </x:c>
      <x:c r="K30" s="4" t="str">
        <x:v>Engine</x:v>
      </x:c>
      <x:c r="L30" s="4" t="str">
        <x:v>NOT TESTED</x:v>
      </x:c>
      <x:c r="M30" s="4" t="str">
        <x:v>No product-specific country evidence; unscored commercial components remain zero.</x:v>
      </x:c>
      <x:c r="N30" s="4" t="str">
        <x:v>No product-specific evidence</x:v>
      </x:c>
      <x:c r="O30" s="4" t="str">
        <x:v>Low</x:v>
      </x:c>
      <x:c r="P30" s="4" t="str">
        <x:v>Low</x:v>
      </x:c>
      <x:c r="Q30" s="4" t="str">
        <x:v>Low</x:v>
      </x:c>
      <x:c r="R30" s="4" t="str">
        <x:v>MODEL-SPECIFIC</x:v>
      </x:c>
      <x:c r="S30" s="4" t="str">
        <x:v>ENGINE-V1</x:v>
      </x:c>
      <x:c r="T30" s="4" t="str">
        <x:v>INPUT REQUIRED</x:v>
      </x:c>
      <x:c r="U30" s="4" t="str">
        <x:f>IF(Q30="Low","VALIDATE FIT",IF(P30="Low","VALIDATE DEMAND",IF(T30="INPUT REQUIRED","VALIDATE ECONOMICS","READY FOR ADS REVIEW")))</x:f>
        <x:v>VALIDATE FIT</x:v>
      </x:c>
    </x:row>
    <x:row r="31">
      <x:c r="A31" s="4" t="str">
        <x:v>Uzbekistan</x:v>
      </x:c>
      <x:c r="B31" s="4" t="str">
        <x:v>Hanwei 300</x:v>
      </x:c>
      <x:c r="C31" s="4" t="n">
        <x:v>0</x:v>
      </x:c>
      <x:c r="D31" s="4" t="n">
        <x:v>0</x:v>
      </x:c>
      <x:c r="E31" s="4" t="n">
        <x:v>0</x:v>
      </x:c>
      <x:c r="F31" s="4" t="n">
        <x:v>0</x:v>
      </x:c>
      <x:c r="G31" s="4" t="n">
        <x:v>0</x:v>
      </x:c>
      <x:c r="H31" s="4" t="n">
        <x:v>0</x:v>
      </x:c>
      <x:c r="I31" s="4" t="n">
        <x:f>SUM(C31:H31)</x:f>
        <x:v>0</x:v>
      </x:c>
      <x:c r="J31" s="4" t="str">
        <x:f>IF(I31&gt;=75,"S",IF(I31&gt;=60,"A",IF(I31&gt;=45,"B",IF(I31&gt;=30,"C","D"))))</x:f>
        <x:v>D</x:v>
      </x:c>
      <x:c r="K31" s="4" t="str">
        <x:v>Engine</x:v>
      </x:c>
      <x:c r="L31" s="4" t="str">
        <x:v>NOT TESTED</x:v>
      </x:c>
      <x:c r="M31" s="4" t="str">
        <x:v>No product-specific country evidence; unscored commercial components remain zero.</x:v>
      </x:c>
      <x:c r="N31" s="4" t="str">
        <x:v>No product-specific evidence</x:v>
      </x:c>
      <x:c r="O31" s="4" t="str">
        <x:v>Low</x:v>
      </x:c>
      <x:c r="P31" s="4" t="str">
        <x:v>Low</x:v>
      </x:c>
      <x:c r="Q31" s="4" t="str">
        <x:v>Low</x:v>
      </x:c>
      <x:c r="R31" s="4" t="str">
        <x:v>MODEL-SPECIFIC</x:v>
      </x:c>
      <x:c r="S31" s="4" t="str">
        <x:v>ENGINE-V1</x:v>
      </x:c>
      <x:c r="T31" s="4" t="str">
        <x:v>INPUT REQUIRED</x:v>
      </x:c>
      <x:c r="U31" s="4" t="str">
        <x:f>IF(Q31="Low","VALIDATE FIT",IF(P31="Low","VALIDATE DEMAND",IF(T31="INPUT REQUIRED","VALIDATE ECONOMICS","READY FOR ADS REVIEW")))</x:f>
        <x:v>VALIDATE FIT</x:v>
      </x:c>
    </x:row>
    <x:row r="32">
      <x:c r="A32" s="4" t="str">
        <x:v>Uzbekistan</x:v>
      </x:c>
      <x:c r="B32" s="4" t="str">
        <x:v>Hanwei 350</x:v>
      </x:c>
      <x:c r="C32" s="4" t="n">
        <x:v>0</x:v>
      </x:c>
      <x:c r="D32" s="4" t="n">
        <x:v>0</x:v>
      </x:c>
      <x:c r="E32" s="4" t="n">
        <x:v>0</x:v>
      </x:c>
      <x:c r="F32" s="4" t="n">
        <x:v>0</x:v>
      </x:c>
      <x:c r="G32" s="4" t="n">
        <x:v>0</x:v>
      </x:c>
      <x:c r="H32" s="4" t="n">
        <x:v>0</x:v>
      </x:c>
      <x:c r="I32" s="4" t="n">
        <x:f>SUM(C32:H32)</x:f>
        <x:v>0</x:v>
      </x:c>
      <x:c r="J32" s="4" t="str">
        <x:f>IF(I32&gt;=75,"S",IF(I32&gt;=60,"A",IF(I32&gt;=45,"B",IF(I32&gt;=30,"C","D"))))</x:f>
        <x:v>D</x:v>
      </x:c>
      <x:c r="K32" s="4" t="str">
        <x:v>Engine</x:v>
      </x:c>
      <x:c r="L32" s="4" t="str">
        <x:v>NOT TESTED</x:v>
      </x:c>
      <x:c r="M32" s="4" t="str">
        <x:v>No product-specific country evidence; unscored commercial components remain zero.</x:v>
      </x:c>
      <x:c r="N32" s="4" t="str">
        <x:v>No product-specific evidence</x:v>
      </x:c>
      <x:c r="O32" s="4" t="str">
        <x:v>Low</x:v>
      </x:c>
      <x:c r="P32" s="4" t="str">
        <x:v>Low</x:v>
      </x:c>
      <x:c r="Q32" s="4" t="str">
        <x:v>Low</x:v>
      </x:c>
      <x:c r="R32" s="4" t="str">
        <x:v>MODEL-SPECIFIC</x:v>
      </x:c>
      <x:c r="S32" s="4" t="str">
        <x:v>ENGINE-V1</x:v>
      </x:c>
      <x:c r="T32" s="4" t="str">
        <x:v>INPUT REQUIRED</x:v>
      </x:c>
      <x:c r="U32" s="4" t="str">
        <x:f>IF(Q32="Low","VALIDATE FIT",IF(P32="Low","VALIDATE DEMAND",IF(T32="INPUT REQUIRED","VALIDATE ECONOMICS","READY FOR ADS REVIEW")))</x:f>
        <x:v>VALIDATE FIT</x:v>
      </x:c>
    </x:row>
    <x:row r="33">
      <x:c r="A33" s="4" t="str">
        <x:v>Uzbekistan</x:v>
      </x:c>
      <x:c r="B33" s="4" t="str">
        <x:v>Honda-style 110 horizontal</x:v>
      </x:c>
      <x:c r="C33" s="4" t="n">
        <x:v>0</x:v>
      </x:c>
      <x:c r="D33" s="4" t="n">
        <x:v>0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f>SUM(C33:H33)</x:f>
        <x:v>0</x:v>
      </x:c>
      <x:c r="J33" s="4" t="str">
        <x:f>IF(I33&gt;=75,"S",IF(I33&gt;=60,"A",IF(I33&gt;=45,"B",IF(I33&gt;=30,"C","D"))))</x:f>
        <x:v>D</x:v>
      </x:c>
      <x:c r="K33" s="4" t="str">
        <x:v>Engine</x:v>
      </x:c>
      <x:c r="L33" s="4" t="str">
        <x:v>NOT TESTED</x:v>
      </x:c>
      <x:c r="M33" s="4" t="str">
        <x:v>No product-specific country evidence; unscored commercial components remain zero.</x:v>
      </x:c>
      <x:c r="N33" s="4" t="str">
        <x:v>No product-specific evidence</x:v>
      </x:c>
      <x:c r="O33" s="4" t="str">
        <x:v>Low</x:v>
      </x:c>
      <x:c r="P33" s="4" t="str">
        <x:v>Low</x:v>
      </x:c>
      <x:c r="Q33" s="4" t="str">
        <x:v>Low</x:v>
      </x:c>
      <x:c r="R33" s="4" t="str">
        <x:v>MODEL-SPECIFIC</x:v>
      </x:c>
      <x:c r="S33" s="4" t="str">
        <x:v>ENGINE-V1</x:v>
      </x:c>
      <x:c r="T33" s="4" t="str">
        <x:v>INPUT REQUIRED</x:v>
      </x:c>
      <x:c r="U33" s="4" t="str">
        <x:f>IF(Q33="Low","VALIDATE FIT",IF(P33="Low","VALIDATE DEMAND",IF(T33="INPUT REQUIRED","VALIDATE ECONOMICS","READY FOR ADS REVIEW")))</x:f>
        <x:v>VALIDATE FIT</x:v>
      </x:c>
    </x:row>
    <x:row r="34">
      <x:c r="A34" s="4" t="str">
        <x:v>Uzbekistan</x:v>
      </x:c>
      <x:c r="B34" s="4" t="str">
        <x:v>Honda-style 125 horizontal</x:v>
      </x:c>
      <x:c r="C34" s="4" t="n">
        <x:v>0</x:v>
      </x:c>
      <x:c r="D34" s="4" t="n">
        <x:v>0</x:v>
      </x:c>
      <x:c r="E34" s="4" t="n">
        <x:v>0</x:v>
      </x:c>
      <x:c r="F34" s="4" t="n">
        <x:v>0</x:v>
      </x:c>
      <x:c r="G34" s="4" t="n">
        <x:v>0</x:v>
      </x:c>
      <x:c r="H34" s="4" t="n">
        <x:v>0</x:v>
      </x:c>
      <x:c r="I34" s="4" t="n">
        <x:f>SUM(C34:H34)</x:f>
        <x:v>0</x:v>
      </x:c>
      <x:c r="J34" s="4" t="str">
        <x:f>IF(I34&gt;=75,"S",IF(I34&gt;=60,"A",IF(I34&gt;=45,"B",IF(I34&gt;=30,"C","D"))))</x:f>
        <x:v>D</x:v>
      </x:c>
      <x:c r="K34" s="4" t="str">
        <x:v>Engine</x:v>
      </x:c>
      <x:c r="L34" s="4" t="str">
        <x:v>NOT TESTED</x:v>
      </x:c>
      <x:c r="M34" s="4" t="str">
        <x:v>No product-specific country evidence; unscored commercial components remain zero.</x:v>
      </x:c>
      <x:c r="N34" s="4" t="str">
        <x:v>No product-specific evidence</x:v>
      </x:c>
      <x:c r="O34" s="4" t="str">
        <x:v>Low</x:v>
      </x:c>
      <x:c r="P34" s="4" t="str">
        <x:v>Low</x:v>
      </x:c>
      <x:c r="Q34" s="4" t="str">
        <x:v>Low</x:v>
      </x:c>
      <x:c r="R34" s="4" t="str">
        <x:v>MODEL-SPECIFIC</x:v>
      </x:c>
      <x:c r="S34" s="4" t="str">
        <x:v>ENGINE-V1</x:v>
      </x:c>
      <x:c r="T34" s="4" t="str">
        <x:v>INPUT REQUIRED</x:v>
      </x:c>
      <x:c r="U34" s="4" t="str">
        <x:f>IF(Q34="Low","VALIDATE FIT",IF(P34="Low","VALIDATE DEMAND",IF(T34="INPUT REQUIRED","VALIDATE ECONOMICS","READY FOR ADS REVIEW")))</x:f>
        <x:v>VALIDATE FIT</x:v>
      </x:c>
    </x:row>
    <x:row r="35">
      <x:c r="A35" s="4" t="str">
        <x:v>Uzbekistan</x:v>
      </x:c>
      <x:c r="B35" s="4" t="str">
        <x:v>Honda-style 130/140 horizontal</x:v>
      </x:c>
      <x:c r="C35" s="4" t="n">
        <x:v>0</x:v>
      </x:c>
      <x:c r="D35" s="4" t="n">
        <x:v>0</x:v>
      </x:c>
      <x:c r="E35" s="4" t="n">
        <x:v>0</x:v>
      </x:c>
      <x:c r="F35" s="4" t="n">
        <x:v>0</x:v>
      </x:c>
      <x:c r="G35" s="4" t="n">
        <x:v>0</x:v>
      </x:c>
      <x:c r="H35" s="4" t="n">
        <x:v>0</x:v>
      </x:c>
      <x:c r="I35" s="4" t="n">
        <x:f>SUM(C35:H35)</x:f>
        <x:v>0</x:v>
      </x:c>
      <x:c r="J35" s="4" t="str">
        <x:f>IF(I35&gt;=75,"S",IF(I35&gt;=60,"A",IF(I35&gt;=45,"B",IF(I35&gt;=30,"C","D"))))</x:f>
        <x:v>D</x:v>
      </x:c>
      <x:c r="K35" s="4" t="str">
        <x:v>Engine</x:v>
      </x:c>
      <x:c r="L35" s="4" t="str">
        <x:v>NOT TESTED</x:v>
      </x:c>
      <x:c r="M35" s="4" t="str">
        <x:v>No product-specific country evidence; unscored commercial components remain zero.</x:v>
      </x:c>
      <x:c r="N35" s="4" t="str">
        <x:v>No product-specific evidence</x:v>
      </x:c>
      <x:c r="O35" s="4" t="str">
        <x:v>Low</x:v>
      </x:c>
      <x:c r="P35" s="4" t="str">
        <x:v>Low</x:v>
      </x:c>
      <x:c r="Q35" s="4" t="str">
        <x:v>Low</x:v>
      </x:c>
      <x:c r="R35" s="4" t="str">
        <x:v>MODEL-SPECIFIC</x:v>
      </x:c>
      <x:c r="S35" s="4" t="str">
        <x:v>ENGINE-V1</x:v>
      </x:c>
      <x:c r="T35" s="4" t="str">
        <x:v>INPUT REQUIRED</x:v>
      </x:c>
      <x:c r="U35" s="4" t="str">
        <x:f>IF(Q35="Low","VALIDATE FIT",IF(P35="Low","VALIDATE DEMAND",IF(T35="INPUT REQUIRED","VALIDATE ECONOMICS","READY FOR ADS REVIEW")))</x:f>
        <x:v>VALIDATE FIT</x:v>
      </x:c>
    </x:row>
    <x:row r="36">
      <x:c r="A36" s="4" t="str">
        <x:v>Uzbekistan</x:v>
      </x:c>
      <x:c r="B36" s="4" t="str">
        <x:v>Lower-mounted 140</x:v>
      </x:c>
      <x:c r="C36" s="4" t="n">
        <x:v>0</x:v>
      </x:c>
      <x:c r="D36" s="4" t="n">
        <x:v>0</x:v>
      </x:c>
      <x:c r="E36" s="4" t="n">
        <x:v>0</x:v>
      </x:c>
      <x:c r="F36" s="4" t="n">
        <x:v>0</x:v>
      </x:c>
      <x:c r="G36" s="4" t="n">
        <x:v>0</x:v>
      </x:c>
      <x:c r="H36" s="4" t="n">
        <x:v>0</x:v>
      </x:c>
      <x:c r="I36" s="4" t="n">
        <x:f>SUM(C36:H36)</x:f>
        <x:v>0</x:v>
      </x:c>
      <x:c r="J36" s="4" t="str">
        <x:f>IF(I36&gt;=75,"S",IF(I36&gt;=60,"A",IF(I36&gt;=45,"B",IF(I36&gt;=30,"C","D"))))</x:f>
        <x:v>D</x:v>
      </x:c>
      <x:c r="K36" s="4" t="str">
        <x:v>Engine</x:v>
      </x:c>
      <x:c r="L36" s="4" t="str">
        <x:v>NOT TESTED</x:v>
      </x:c>
      <x:c r="M36" s="4" t="str">
        <x:v>No product-specific country evidence; unscored commercial components remain zero.</x:v>
      </x:c>
      <x:c r="N36" s="4" t="str">
        <x:v>No product-specific evidence</x:v>
      </x:c>
      <x:c r="O36" s="4" t="str">
        <x:v>Low</x:v>
      </x:c>
      <x:c r="P36" s="4" t="str">
        <x:v>Low</x:v>
      </x:c>
      <x:c r="Q36" s="4" t="str">
        <x:v>Low</x:v>
      </x:c>
      <x:c r="R36" s="4" t="str">
        <x:v>MODEL-SPECIFIC</x:v>
      </x:c>
      <x:c r="S36" s="4" t="str">
        <x:v>ENGINE-V1</x:v>
      </x:c>
      <x:c r="T36" s="4" t="str">
        <x:v>INPUT REQUIRED</x:v>
      </x:c>
      <x:c r="U36" s="4" t="str">
        <x:f>IF(Q36="Low","VALIDATE FIT",IF(P36="Low","VALIDATE DEMAND",IF(T36="INPUT REQUIRED","VALIDATE ECONOMICS","READY FOR ADS REVIEW")))</x:f>
        <x:v>VALIDATE FIT</x:v>
      </x:c>
    </x:row>
    <x:row r="37">
      <x:c r="A37" s="4" t="str">
        <x:v>Uzbekistan</x:v>
      </x:c>
      <x:c r="B37" s="4" t="str">
        <x:v>Automatic-clutch CG</x:v>
      </x:c>
      <x:c r="C37" s="4" t="n">
        <x:v>0</x:v>
      </x:c>
      <x:c r="D37" s="4" t="n">
        <x:v>0</x:v>
      </x:c>
      <x:c r="E37" s="4" t="n">
        <x:v>0</x:v>
      </x:c>
      <x:c r="F37" s="4" t="n">
        <x:v>0</x:v>
      </x:c>
      <x:c r="G37" s="4" t="n">
        <x:v>0</x:v>
      </x:c>
      <x:c r="H37" s="4" t="n">
        <x:v>0</x:v>
      </x:c>
      <x:c r="I37" s="4" t="n">
        <x:f>SUM(C37:H37)</x:f>
        <x:v>0</x:v>
      </x:c>
      <x:c r="J37" s="4" t="str">
        <x:f>IF(I37&gt;=75,"S",IF(I37&gt;=60,"A",IF(I37&gt;=45,"B",IF(I37&gt;=30,"C","D"))))</x:f>
        <x:v>D</x:v>
      </x:c>
      <x:c r="K37" s="4" t="str">
        <x:v>Engine</x:v>
      </x:c>
      <x:c r="L37" s="4" t="str">
        <x:v>NOT TESTED</x:v>
      </x:c>
      <x:c r="M37" s="4" t="str">
        <x:v>No product-specific country evidence; unscored commercial components remain zero.</x:v>
      </x:c>
      <x:c r="N37" s="4" t="str">
        <x:v>No product-specific evidence</x:v>
      </x:c>
      <x:c r="O37" s="4" t="str">
        <x:v>Low</x:v>
      </x:c>
      <x:c r="P37" s="4" t="str">
        <x:v>Low</x:v>
      </x:c>
      <x:c r="Q37" s="4" t="str">
        <x:v>Low</x:v>
      </x:c>
      <x:c r="R37" s="4" t="str">
        <x:v>MODEL-SPECIFIC</x:v>
      </x:c>
      <x:c r="S37" s="4" t="str">
        <x:v>ENGINE-V1</x:v>
      </x:c>
      <x:c r="T37" s="4" t="str">
        <x:v>INPUT REQUIRED</x:v>
      </x:c>
      <x:c r="U37" s="4" t="str">
        <x:f>IF(Q37="Low","VALIDATE FIT",IF(P37="Low","VALIDATE DEMAND",IF(T37="INPUT REQUIRED","VALIDATE ECONOMICS","READY FOR ADS REVIEW")))</x:f>
        <x:v>VALIDATE FIT</x:v>
      </x:c>
    </x:row>
    <x:row r="38">
      <x:c r="A38" s="4" t="str">
        <x:v>Uzbekistan</x:v>
      </x:c>
      <x:c r="B38" s="4" t="str">
        <x:v>Automatic-clutch horizontal</x:v>
      </x:c>
      <x:c r="C38" s="4" t="n">
        <x:v>0</x:v>
      </x:c>
      <x:c r="D38" s="4" t="n">
        <x:v>0</x:v>
      </x:c>
      <x:c r="E38" s="4" t="n">
        <x:v>0</x:v>
      </x:c>
      <x:c r="F38" s="4" t="n">
        <x:v>0</x:v>
      </x:c>
      <x:c r="G38" s="4" t="n">
        <x:v>0</x:v>
      </x:c>
      <x:c r="H38" s="4" t="n">
        <x:v>0</x:v>
      </x:c>
      <x:c r="I38" s="4" t="n">
        <x:f>SUM(C38:H38)</x:f>
        <x:v>0</x:v>
      </x:c>
      <x:c r="J38" s="4" t="str">
        <x:f>IF(I38&gt;=75,"S",IF(I38&gt;=60,"A",IF(I38&gt;=45,"B",IF(I38&gt;=30,"C","D"))))</x:f>
        <x:v>D</x:v>
      </x:c>
      <x:c r="K38" s="4" t="str">
        <x:v>Engine</x:v>
      </x:c>
      <x:c r="L38" s="4" t="str">
        <x:v>NOT TESTED</x:v>
      </x:c>
      <x:c r="M38" s="4" t="str">
        <x:v>No product-specific country evidence; unscored commercial components remain zero.</x:v>
      </x:c>
      <x:c r="N38" s="4" t="str">
        <x:v>No product-specific evidence</x:v>
      </x:c>
      <x:c r="O38" s="4" t="str">
        <x:v>Low</x:v>
      </x:c>
      <x:c r="P38" s="4" t="str">
        <x:v>Low</x:v>
      </x:c>
      <x:c r="Q38" s="4" t="str">
        <x:v>Low</x:v>
      </x:c>
      <x:c r="R38" s="4" t="str">
        <x:v>MODEL-SPECIFIC</x:v>
      </x:c>
      <x:c r="S38" s="4" t="str">
        <x:v>ENGINE-V1</x:v>
      </x:c>
      <x:c r="T38" s="4" t="str">
        <x:v>INPUT REQUIRED</x:v>
      </x:c>
      <x:c r="U38" s="4" t="str">
        <x:f>IF(Q38="Low","VALIDATE FIT",IF(P38="Low","VALIDATE DEMAND",IF(T38="INPUT REQUIRED","VALIDATE ECONOMICS","READY FOR ADS REVIEW")))</x:f>
        <x:v>VALIDATE FIT</x:v>
      </x:c>
    </x:row>
    <x:row r="39">
      <x:c r="A39" s="4" t="str">
        <x:v>Uzbekistan</x:v>
      </x:c>
      <x:c r="B39" s="4" t="str">
        <x:v>CB150/200/250 off-road</x:v>
      </x:c>
      <x:c r="C39" s="4" t="n">
        <x:v>0</x:v>
      </x:c>
      <x:c r="D39" s="4" t="n">
        <x:v>0</x:v>
      </x:c>
      <x:c r="E39" s="4" t="n">
        <x:v>0</x:v>
      </x:c>
      <x:c r="F39" s="4" t="n">
        <x:v>0</x:v>
      </x:c>
      <x:c r="G39" s="4" t="n">
        <x:v>0</x:v>
      </x:c>
      <x:c r="H39" s="4" t="n">
        <x:v>0</x:v>
      </x:c>
      <x:c r="I39" s="4" t="n">
        <x:f>SUM(C39:H39)</x:f>
        <x:v>0</x:v>
      </x:c>
      <x:c r="J39" s="4" t="str">
        <x:f>IF(I39&gt;=75,"S",IF(I39&gt;=60,"A",IF(I39&gt;=45,"B",IF(I39&gt;=30,"C","D"))))</x:f>
        <x:v>D</x:v>
      </x:c>
      <x:c r="K39" s="4" t="str">
        <x:v>Engine</x:v>
      </x:c>
      <x:c r="L39" s="4" t="str">
        <x:v>NOT TESTED</x:v>
      </x:c>
      <x:c r="M39" s="4" t="str">
        <x:v>No product-specific country evidence; unscored commercial components remain zero.</x:v>
      </x:c>
      <x:c r="N39" s="4" t="str">
        <x:v>No product-specific evidence</x:v>
      </x:c>
      <x:c r="O39" s="4" t="str">
        <x:v>Low</x:v>
      </x:c>
      <x:c r="P39" s="4" t="str">
        <x:v>Low</x:v>
      </x:c>
      <x:c r="Q39" s="4" t="str">
        <x:v>Low</x:v>
      </x:c>
      <x:c r="R39" s="4" t="str">
        <x:v>MODEL-SPECIFIC</x:v>
      </x:c>
      <x:c r="S39" s="4" t="str">
        <x:v>ENGINE-V1</x:v>
      </x:c>
      <x:c r="T39" s="4" t="str">
        <x:v>INPUT REQUIRED</x:v>
      </x:c>
      <x:c r="U39" s="4" t="str">
        <x:f>IF(Q39="Low","VALIDATE FIT",IF(P39="Low","VALIDATE DEMAND",IF(T39="INPUT REQUIRED","VALIDATE ECONOMICS","READY FOR ADS REVIEW")))</x:f>
        <x:v>VALIDATE FIT</x:v>
      </x:c>
    </x:row>
    <x:row r="40">
      <x:c r="A40" s="4" t="str">
        <x:v>Uzbekistan</x:v>
      </x:c>
      <x:c r="B40" s="4" t="str">
        <x:v>EFI water-cooled</x:v>
      </x:c>
      <x:c r="C40" s="4" t="n">
        <x:v>0</x:v>
      </x:c>
      <x:c r="D40" s="4" t="n">
        <x:v>0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4" t="n">
        <x:f>SUM(C40:H40)</x:f>
        <x:v>0</x:v>
      </x:c>
      <x:c r="J40" s="4" t="str">
        <x:f>IF(I40&gt;=75,"S",IF(I40&gt;=60,"A",IF(I40&gt;=45,"B",IF(I40&gt;=30,"C","D"))))</x:f>
        <x:v>D</x:v>
      </x:c>
      <x:c r="K40" s="4" t="str">
        <x:v>Engine</x:v>
      </x:c>
      <x:c r="L40" s="4" t="str">
        <x:v>NOT TESTED</x:v>
      </x:c>
      <x:c r="M40" s="4" t="str">
        <x:v>No product-specific country evidence; unscored commercial components remain zero.</x:v>
      </x:c>
      <x:c r="N40" s="4" t="str">
        <x:v>No product-specific evidence</x:v>
      </x:c>
      <x:c r="O40" s="4" t="str">
        <x:v>Low</x:v>
      </x:c>
      <x:c r="P40" s="4" t="str">
        <x:v>Low</x:v>
      </x:c>
      <x:c r="Q40" s="4" t="str">
        <x:v>Low</x:v>
      </x:c>
      <x:c r="R40" s="4" t="str">
        <x:v>MODEL-SPECIFIC</x:v>
      </x:c>
      <x:c r="S40" s="4" t="str">
        <x:v>ENGINE-V1</x:v>
      </x:c>
      <x:c r="T40" s="4" t="str">
        <x:v>INPUT REQUIRED</x:v>
      </x:c>
      <x:c r="U40" s="4" t="str">
        <x:f>IF(Q40="Low","VALIDATE FIT",IF(P40="Low","VALIDATE DEMAND",IF(T40="INPUT REQUIRED","VALIDATE ECONOMICS","READY FOR ADS REVIEW")))</x:f>
        <x:v>VALIDATE FIT</x:v>
      </x:c>
    </x:row>
    <x:row r="41">
      <x:c r="A41" s="4" t="str">
        <x:v>Uzbekistan</x:v>
      </x:c>
      <x:c r="B41" s="4" t="str">
        <x:v>Engine parts / spares pack</x:v>
      </x:c>
      <x:c r="C41" s="4" t="n">
        <x:v>12</x:v>
      </x:c>
      <x:c r="D41" s="4" t="n">
        <x:v>0</x:v>
      </x:c>
      <x:c r="E41" s="4" t="n">
        <x:v>7</x:v>
      </x:c>
      <x:c r="F41" s="4" t="n">
        <x:v>6</x:v>
      </x:c>
      <x:c r="G41" s="4" t="n">
        <x:v>3</x:v>
      </x:c>
      <x:c r="H41" s="4" t="n">
        <x:v>7</x:v>
      </x:c>
      <x:c r="I41" s="4" t="n">
        <x:f>SUM(C41:H41)</x:f>
        <x:v>35</x:v>
      </x:c>
      <x:c r="J41" s="4" t="str">
        <x:f>IF(I41&gt;=75,"S",IF(I41&gt;=60,"A",IF(I41&gt;=45,"B",IF(I41&gt;=30,"C","D"))))</x:f>
        <x:v>C</x:v>
      </x:c>
      <x:c r="K41" s="4" t="str">
        <x:v>Aftermarket / parts</x:v>
      </x:c>
      <x:c r="L41" s="4" t="str">
        <x:v>after-sales parts channel</x:v>
      </x:c>
      <x:c r="M41" s="4" t="str">
        <x:v>Lifan catalogue and marketplace parts taxonomy; parts-only evidence.</x:v>
      </x:c>
      <x:c r="N41" s="4" t="str">
        <x:v>P4-UZ-03,P4-UZ-04,P4-UZ-07</x:v>
      </x:c>
      <x:c r="O41" s="4" t="str">
        <x:v>Medium</x:v>
      </x:c>
      <x:c r="P41" s="4" t="str">
        <x:v>Not applicable</x:v>
      </x:c>
      <x:c r="Q41" s="4" t="str">
        <x:v>Not applicable</x:v>
      </x:c>
      <x:c r="R41" s="4" t="str">
        <x:v>PART-NUMBER-SPECIFIC</x:v>
      </x:c>
      <x:c r="S41" s="4" t="str">
        <x:v>AFTERMARKET-V1</x:v>
      </x:c>
      <x:c r="T41" s="4" t="str">
        <x:v>INPUT REQUIRED</x:v>
      </x:c>
      <x:c r="U41" s="4" t="str">
        <x:f>IF(Q41="Low","VALIDATE FIT",IF(P41="Low","VALIDATE DEMAND",IF(T41="INPUT REQUIRED","VALIDATE ECONOMICS","READY FOR ADS REVIEW")))</x:f>
        <x:v>VALIDATE ECONOMICS</x:v>
      </x:c>
    </x:row>
  </x:sheetData>
  <x:pageMargins left="0.7" right="0.7" top="0.75" bottom="0.75" header="0.3" footer="0.3"/>
</x:worksheet>
</file>